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OneDrive\Desktop\ME,KOL,Patent Analysis , Forecasting\Forecasting Models\"/>
    </mc:Choice>
  </mc:AlternateContent>
  <xr:revisionPtr revIDLastSave="0" documentId="13_ncr:1_{EC2C6828-B0A6-4AF1-9EE2-FF9197FDEADC}" xr6:coauthVersionLast="47" xr6:coauthVersionMax="47" xr10:uidLastSave="{00000000-0000-0000-0000-000000000000}"/>
  <bookViews>
    <workbookView xWindow="-110" yWindow="-110" windowWidth="19420" windowHeight="10300" activeTab="2" xr2:uid="{E91FC784-ED1C-4DD8-84A6-B2AA3BBB3274}"/>
  </bookViews>
  <sheets>
    <sheet name="Brain tumor Desk Research" sheetId="1" r:id="rId1"/>
    <sheet name="Drug Price" sheetId="3" r:id="rId2"/>
    <sheet name="Description "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9" i="1" l="1"/>
  <c r="I23" i="1"/>
  <c r="I15" i="1"/>
  <c r="I12" i="1"/>
  <c r="I10" i="1"/>
  <c r="I51" i="1"/>
  <c r="D19" i="1"/>
  <c r="J15" i="1"/>
  <c r="J6" i="1"/>
  <c r="K6" i="1"/>
  <c r="L6" i="1"/>
  <c r="L10" i="1" s="1"/>
  <c r="L12" i="1" s="1"/>
  <c r="L14" i="1" s="1"/>
  <c r="M6" i="1"/>
  <c r="M10" i="1" s="1"/>
  <c r="M12" i="1" s="1"/>
  <c r="M14" i="1" s="1"/>
  <c r="N6" i="1"/>
  <c r="N10" i="1" s="1"/>
  <c r="N12" i="1" s="1"/>
  <c r="N14" i="1" s="1"/>
  <c r="O6" i="1"/>
  <c r="O10" i="1" s="1"/>
  <c r="O12" i="1" s="1"/>
  <c r="O14" i="1" s="1"/>
  <c r="P6" i="1"/>
  <c r="P10" i="1" s="1"/>
  <c r="P12" i="1" s="1"/>
  <c r="P14" i="1" s="1"/>
  <c r="Q6" i="1"/>
  <c r="Q10" i="1" s="1"/>
  <c r="Q12" i="1" s="1"/>
  <c r="Q14" i="1" s="1"/>
  <c r="R6" i="1"/>
  <c r="S6" i="1"/>
  <c r="T6" i="1"/>
  <c r="J7" i="1"/>
  <c r="K7" i="1"/>
  <c r="L7" i="1"/>
  <c r="M7" i="1"/>
  <c r="N7" i="1"/>
  <c r="O7" i="1" s="1"/>
  <c r="P7" i="1" s="1"/>
  <c r="Q7" i="1" s="1"/>
  <c r="R7" i="1" s="1"/>
  <c r="S7" i="1" s="1"/>
  <c r="T7" i="1" s="1"/>
  <c r="J8" i="1"/>
  <c r="K8" i="1"/>
  <c r="L8" i="1" s="1"/>
  <c r="M8" i="1" s="1"/>
  <c r="N8" i="1" s="1"/>
  <c r="O8" i="1" s="1"/>
  <c r="P8" i="1" s="1"/>
  <c r="Q8" i="1"/>
  <c r="R8" i="1"/>
  <c r="S8" i="1"/>
  <c r="T8" i="1" s="1"/>
  <c r="J10" i="1"/>
  <c r="K10" i="1"/>
  <c r="K12" i="1" s="1"/>
  <c r="K14" i="1" s="1"/>
  <c r="R10" i="1"/>
  <c r="R12" i="1" s="1"/>
  <c r="R14" i="1" s="1"/>
  <c r="R15" i="1" s="1"/>
  <c r="S10" i="1"/>
  <c r="S12" i="1" s="1"/>
  <c r="S14" i="1" s="1"/>
  <c r="S15" i="1" s="1"/>
  <c r="T10" i="1"/>
  <c r="T12" i="1" s="1"/>
  <c r="T14" i="1" s="1"/>
  <c r="I14" i="1"/>
  <c r="I17" i="1" s="1"/>
  <c r="J12" i="1"/>
  <c r="J14" i="1" s="1"/>
  <c r="J17" i="1" s="1"/>
  <c r="T46" i="1"/>
  <c r="E19" i="1"/>
  <c r="K17" i="1" l="1"/>
  <c r="K15" i="1"/>
  <c r="Q16" i="1"/>
  <c r="Q17" i="1"/>
  <c r="Q15" i="1"/>
  <c r="O15" i="1"/>
  <c r="O17" i="1"/>
  <c r="O16" i="1"/>
  <c r="N15" i="1"/>
  <c r="N17" i="1"/>
  <c r="T15" i="1"/>
  <c r="T17" i="1"/>
  <c r="M15" i="1"/>
  <c r="M17" i="1"/>
  <c r="P16" i="1"/>
  <c r="S16" i="1"/>
  <c r="T16" i="1"/>
  <c r="P15" i="1"/>
  <c r="R16" i="1"/>
  <c r="S17" i="1"/>
  <c r="R17" i="1"/>
  <c r="N16" i="1"/>
  <c r="K16" i="1"/>
  <c r="M16" i="1"/>
  <c r="J16" i="1"/>
  <c r="L15" i="1"/>
  <c r="L17" i="1"/>
  <c r="P17" i="1"/>
  <c r="L16" i="1"/>
  <c r="I16" i="1"/>
  <c r="D1" i="3"/>
  <c r="E1" i="3"/>
  <c r="F1" i="3"/>
  <c r="G1" i="3" s="1"/>
  <c r="H1" i="3" s="1"/>
  <c r="I1" i="3" s="1"/>
  <c r="J1" i="3" s="1"/>
  <c r="K1" i="3" s="1"/>
  <c r="L1" i="3" s="1"/>
  <c r="M1" i="3" s="1"/>
  <c r="C1" i="3"/>
  <c r="J46" i="1"/>
  <c r="K46" i="1"/>
  <c r="L46" i="1"/>
  <c r="M46" i="1"/>
  <c r="N46" i="1"/>
  <c r="O46" i="1"/>
  <c r="P46" i="1"/>
  <c r="Q46" i="1"/>
  <c r="R46" i="1"/>
  <c r="S46" i="1"/>
  <c r="I46" i="1"/>
  <c r="H18" i="1" l="1"/>
  <c r="A4" i="1"/>
  <c r="X4" i="1"/>
  <c r="Y4" i="1" s="1"/>
  <c r="Z4" i="1" s="1"/>
  <c r="AA4" i="1" s="1"/>
  <c r="AB4" i="1" s="1"/>
  <c r="AC4" i="1" s="1"/>
  <c r="AD4" i="1" s="1"/>
  <c r="AE4" i="1" s="1"/>
  <c r="AF4" i="1" s="1"/>
  <c r="AG4" i="1" s="1"/>
  <c r="J4" i="1"/>
  <c r="K4" i="1" s="1"/>
  <c r="L4" i="1" s="1"/>
  <c r="M4" i="1" s="1"/>
  <c r="N4" i="1" s="1"/>
  <c r="O4" i="1" s="1"/>
  <c r="P4" i="1" s="1"/>
  <c r="Q4" i="1" s="1"/>
  <c r="R4" i="1" s="1"/>
  <c r="S4" i="1" s="1"/>
  <c r="T4" i="1" s="1"/>
  <c r="L18" i="1" l="1"/>
  <c r="L19" i="1" s="1"/>
  <c r="L21" i="1" s="1"/>
  <c r="L23" i="1" s="1"/>
  <c r="N18" i="1"/>
  <c r="N19" i="1" s="1"/>
  <c r="N21" i="1" s="1"/>
  <c r="N23" i="1" s="1"/>
  <c r="K18" i="1"/>
  <c r="K19" i="1" s="1"/>
  <c r="K21" i="1" s="1"/>
  <c r="K23" i="1" s="1"/>
  <c r="Q18" i="1"/>
  <c r="Q19" i="1" s="1"/>
  <c r="Q21" i="1" s="1"/>
  <c r="Q23" i="1" s="1"/>
  <c r="T18" i="1"/>
  <c r="T19" i="1" s="1"/>
  <c r="T21" i="1" s="1"/>
  <c r="T23" i="1" s="1"/>
  <c r="T51" i="1" s="1"/>
  <c r="T76" i="1" s="1"/>
  <c r="O18" i="1"/>
  <c r="O19" i="1" s="1"/>
  <c r="O21" i="1" s="1"/>
  <c r="O23" i="1" s="1"/>
  <c r="J18" i="1"/>
  <c r="J19" i="1" s="1"/>
  <c r="J21" i="1" s="1"/>
  <c r="J23" i="1" s="1"/>
  <c r="P18" i="1"/>
  <c r="P19" i="1" s="1"/>
  <c r="P21" i="1" s="1"/>
  <c r="P23" i="1" s="1"/>
  <c r="M18" i="1"/>
  <c r="M19" i="1" s="1"/>
  <c r="M21" i="1" s="1"/>
  <c r="M23" i="1" s="1"/>
  <c r="I18" i="1"/>
  <c r="I21" i="1" s="1"/>
  <c r="R18" i="1"/>
  <c r="R19" i="1" s="1"/>
  <c r="R21" i="1" s="1"/>
  <c r="R23" i="1" s="1"/>
  <c r="S18" i="1"/>
  <c r="S19" i="1" s="1"/>
  <c r="S21" i="1" s="1"/>
  <c r="S23" i="1" s="1"/>
  <c r="T59" i="1"/>
  <c r="T84" i="1" s="1"/>
  <c r="T70" i="1"/>
  <c r="T63" i="1"/>
  <c r="T88" i="1" s="1"/>
  <c r="T66" i="1"/>
  <c r="T90" i="1" s="1"/>
  <c r="T67" i="1"/>
  <c r="T91" i="1" s="1"/>
  <c r="M66" i="1"/>
  <c r="M69" i="1"/>
  <c r="M56" i="1"/>
  <c r="M81" i="1" s="1"/>
  <c r="M63" i="1"/>
  <c r="M88" i="1" s="1"/>
  <c r="M59" i="1"/>
  <c r="M84" i="1" s="1"/>
  <c r="M53" i="1"/>
  <c r="M78" i="1" s="1"/>
  <c r="M54" i="1"/>
  <c r="M79" i="1" s="1"/>
  <c r="M67" i="1"/>
  <c r="M61" i="1"/>
  <c r="M86" i="1" s="1"/>
  <c r="M57" i="1"/>
  <c r="M82" i="1" s="1"/>
  <c r="M51" i="1"/>
  <c r="M76" i="1" s="1"/>
  <c r="M68" i="1"/>
  <c r="M62" i="1"/>
  <c r="M87" i="1" s="1"/>
  <c r="M58" i="1"/>
  <c r="M83" i="1" s="1"/>
  <c r="M52" i="1"/>
  <c r="M77" i="1" s="1"/>
  <c r="M70" i="1"/>
  <c r="M95" i="1" s="1"/>
  <c r="T69" i="1" l="1"/>
  <c r="T93" i="1" s="1"/>
  <c r="T56" i="1"/>
  <c r="T81" i="1" s="1"/>
  <c r="T62" i="1"/>
  <c r="T87" i="1" s="1"/>
  <c r="T52" i="1"/>
  <c r="T77" i="1" s="1"/>
  <c r="T53" i="1"/>
  <c r="T78" i="1" s="1"/>
  <c r="T61" i="1"/>
  <c r="T86" i="1" s="1"/>
  <c r="T57" i="1"/>
  <c r="T82" i="1" s="1"/>
  <c r="T58" i="1"/>
  <c r="T83" i="1" s="1"/>
  <c r="T54" i="1"/>
  <c r="T79" i="1" s="1"/>
  <c r="T68" i="1"/>
  <c r="T92" i="1" s="1"/>
  <c r="T94" i="1"/>
  <c r="T95" i="1"/>
  <c r="M96" i="1"/>
  <c r="M97" i="1" s="1"/>
  <c r="I57" i="1"/>
  <c r="I82" i="1" s="1"/>
  <c r="I52" i="1"/>
  <c r="I77" i="1" s="1"/>
  <c r="I76" i="1"/>
  <c r="I63" i="1"/>
  <c r="I88" i="1" s="1"/>
  <c r="I68" i="1"/>
  <c r="I59" i="1"/>
  <c r="I84" i="1" s="1"/>
  <c r="I61" i="1"/>
  <c r="I86" i="1" s="1"/>
  <c r="I70" i="1"/>
  <c r="I95" i="1" s="1"/>
  <c r="I67" i="1"/>
  <c r="I69" i="1"/>
  <c r="I53" i="1"/>
  <c r="I78" i="1" s="1"/>
  <c r="I58" i="1"/>
  <c r="I83" i="1" s="1"/>
  <c r="I56" i="1"/>
  <c r="I81" i="1" s="1"/>
  <c r="I54" i="1"/>
  <c r="I79" i="1" s="1"/>
  <c r="I66" i="1"/>
  <c r="I62" i="1"/>
  <c r="I87" i="1" s="1"/>
  <c r="N66" i="1"/>
  <c r="T96" i="1" l="1"/>
  <c r="T97" i="1" s="1"/>
  <c r="I96" i="1"/>
  <c r="I97" i="1" s="1"/>
  <c r="N52" i="1"/>
  <c r="N77" i="1" s="1"/>
  <c r="N90" i="1"/>
  <c r="N69" i="1"/>
  <c r="N93" i="1" s="1"/>
  <c r="N56" i="1"/>
  <c r="N81" i="1" s="1"/>
  <c r="N67" i="1"/>
  <c r="N91" i="1" s="1"/>
  <c r="N70" i="1"/>
  <c r="N61" i="1"/>
  <c r="N86" i="1" s="1"/>
  <c r="N57" i="1"/>
  <c r="N82" i="1" s="1"/>
  <c r="N63" i="1"/>
  <c r="N88" i="1" s="1"/>
  <c r="N59" i="1"/>
  <c r="N84" i="1" s="1"/>
  <c r="N53" i="1"/>
  <c r="N78" i="1" s="1"/>
  <c r="N51" i="1"/>
  <c r="N76" i="1" s="1"/>
  <c r="N54" i="1"/>
  <c r="N79" i="1" s="1"/>
  <c r="N62" i="1"/>
  <c r="N87" i="1" s="1"/>
  <c r="N58" i="1"/>
  <c r="N83" i="1" s="1"/>
  <c r="N68" i="1"/>
  <c r="N92" i="1" s="1"/>
  <c r="J67" i="1"/>
  <c r="J61" i="1"/>
  <c r="J86" i="1" s="1"/>
  <c r="J57" i="1"/>
  <c r="J82" i="1" s="1"/>
  <c r="J69" i="1"/>
  <c r="J56" i="1"/>
  <c r="J81" i="1" s="1"/>
  <c r="J51" i="1"/>
  <c r="J76" i="1" s="1"/>
  <c r="J52" i="1"/>
  <c r="J77" i="1" s="1"/>
  <c r="J54" i="1"/>
  <c r="J79" i="1" s="1"/>
  <c r="J68" i="1"/>
  <c r="J62" i="1"/>
  <c r="J87" i="1" s="1"/>
  <c r="J58" i="1"/>
  <c r="J83" i="1" s="1"/>
  <c r="J63" i="1"/>
  <c r="J88" i="1" s="1"/>
  <c r="J59" i="1"/>
  <c r="J84" i="1" s="1"/>
  <c r="J66" i="1"/>
  <c r="J53" i="1"/>
  <c r="J78" i="1" s="1"/>
  <c r="J70" i="1"/>
  <c r="J95" i="1" s="1"/>
  <c r="L63" i="1"/>
  <c r="L88" i="1" s="1"/>
  <c r="L59" i="1"/>
  <c r="L84" i="1" s="1"/>
  <c r="L51" i="1"/>
  <c r="L76" i="1" s="1"/>
  <c r="L62" i="1"/>
  <c r="L87" i="1" s="1"/>
  <c r="L53" i="1"/>
  <c r="L78" i="1" s="1"/>
  <c r="L67" i="1"/>
  <c r="L61" i="1"/>
  <c r="L86" i="1" s="1"/>
  <c r="L57" i="1"/>
  <c r="L82" i="1" s="1"/>
  <c r="L58" i="1"/>
  <c r="L83" i="1" s="1"/>
  <c r="L68" i="1"/>
  <c r="L52" i="1"/>
  <c r="L77" i="1" s="1"/>
  <c r="L54" i="1"/>
  <c r="L79" i="1" s="1"/>
  <c r="L66" i="1"/>
  <c r="L69" i="1"/>
  <c r="L56" i="1"/>
  <c r="L81" i="1" s="1"/>
  <c r="L70" i="1"/>
  <c r="L95" i="1" s="1"/>
  <c r="R67" i="1"/>
  <c r="R91" i="1" s="1"/>
  <c r="R61" i="1"/>
  <c r="R86" i="1" s="1"/>
  <c r="R57" i="1"/>
  <c r="R82" i="1" s="1"/>
  <c r="R51" i="1"/>
  <c r="R76" i="1" s="1"/>
  <c r="R52" i="1"/>
  <c r="R77" i="1" s="1"/>
  <c r="R66" i="1"/>
  <c r="R90" i="1" s="1"/>
  <c r="R68" i="1"/>
  <c r="R92" i="1" s="1"/>
  <c r="R54" i="1"/>
  <c r="R79" i="1" s="1"/>
  <c r="R69" i="1"/>
  <c r="R93" i="1" s="1"/>
  <c r="R62" i="1"/>
  <c r="R87" i="1" s="1"/>
  <c r="R58" i="1"/>
  <c r="R83" i="1" s="1"/>
  <c r="R56" i="1"/>
  <c r="R81" i="1" s="1"/>
  <c r="R63" i="1"/>
  <c r="R88" i="1" s="1"/>
  <c r="R59" i="1"/>
  <c r="R84" i="1" s="1"/>
  <c r="R53" i="1"/>
  <c r="R78" i="1" s="1"/>
  <c r="R70" i="1"/>
  <c r="S53" i="1"/>
  <c r="S78" i="1" s="1"/>
  <c r="S67" i="1"/>
  <c r="S91" i="1" s="1"/>
  <c r="S61" i="1"/>
  <c r="S86" i="1" s="1"/>
  <c r="S57" i="1"/>
  <c r="S82" i="1" s="1"/>
  <c r="S51" i="1"/>
  <c r="S76" i="1" s="1"/>
  <c r="S62" i="1"/>
  <c r="S87" i="1" s="1"/>
  <c r="S58" i="1"/>
  <c r="S83" i="1" s="1"/>
  <c r="S68" i="1"/>
  <c r="S92" i="1" s="1"/>
  <c r="S54" i="1"/>
  <c r="S79" i="1" s="1"/>
  <c r="S66" i="1"/>
  <c r="S90" i="1" s="1"/>
  <c r="S69" i="1"/>
  <c r="S93" i="1" s="1"/>
  <c r="S56" i="1"/>
  <c r="S81" i="1" s="1"/>
  <c r="S63" i="1"/>
  <c r="S88" i="1" s="1"/>
  <c r="S59" i="1"/>
  <c r="S84" i="1" s="1"/>
  <c r="S52" i="1"/>
  <c r="S77" i="1" s="1"/>
  <c r="S70" i="1"/>
  <c r="Q59" i="1"/>
  <c r="Q84" i="1" s="1"/>
  <c r="Q68" i="1"/>
  <c r="Q92" i="1" s="1"/>
  <c r="Q54" i="1"/>
  <c r="Q79" i="1" s="1"/>
  <c r="Q66" i="1"/>
  <c r="Q90" i="1" s="1"/>
  <c r="Q62" i="1"/>
  <c r="Q87" i="1" s="1"/>
  <c r="Q58" i="1"/>
  <c r="Q83" i="1" s="1"/>
  <c r="Q56" i="1"/>
  <c r="Q81" i="1" s="1"/>
  <c r="Q52" i="1"/>
  <c r="Q77" i="1" s="1"/>
  <c r="Q53" i="1"/>
  <c r="Q78" i="1" s="1"/>
  <c r="Q63" i="1"/>
  <c r="Q88" i="1" s="1"/>
  <c r="Q67" i="1"/>
  <c r="Q91" i="1" s="1"/>
  <c r="Q61" i="1"/>
  <c r="Q86" i="1" s="1"/>
  <c r="Q57" i="1"/>
  <c r="Q82" i="1" s="1"/>
  <c r="Q51" i="1"/>
  <c r="Q76" i="1" s="1"/>
  <c r="Q69" i="1"/>
  <c r="Q93" i="1" s="1"/>
  <c r="Q70" i="1"/>
  <c r="P68" i="1"/>
  <c r="P92" i="1" s="1"/>
  <c r="P54" i="1"/>
  <c r="P79" i="1" s="1"/>
  <c r="P62" i="1"/>
  <c r="P87" i="1" s="1"/>
  <c r="P58" i="1"/>
  <c r="P83" i="1" s="1"/>
  <c r="P59" i="1"/>
  <c r="P84" i="1" s="1"/>
  <c r="P52" i="1"/>
  <c r="P77" i="1" s="1"/>
  <c r="P66" i="1"/>
  <c r="P90" i="1" s="1"/>
  <c r="P69" i="1"/>
  <c r="P93" i="1" s="1"/>
  <c r="P56" i="1"/>
  <c r="P81" i="1" s="1"/>
  <c r="P67" i="1"/>
  <c r="P91" i="1" s="1"/>
  <c r="P61" i="1"/>
  <c r="P86" i="1" s="1"/>
  <c r="P57" i="1"/>
  <c r="P82" i="1" s="1"/>
  <c r="P51" i="1"/>
  <c r="P76" i="1" s="1"/>
  <c r="P63" i="1"/>
  <c r="P88" i="1" s="1"/>
  <c r="P53" i="1"/>
  <c r="P78" i="1" s="1"/>
  <c r="P70" i="1"/>
  <c r="K53" i="1"/>
  <c r="K78" i="1" s="1"/>
  <c r="K67" i="1"/>
  <c r="K61" i="1"/>
  <c r="K86" i="1" s="1"/>
  <c r="K57" i="1"/>
  <c r="K82" i="1" s="1"/>
  <c r="K62" i="1"/>
  <c r="K87" i="1" s="1"/>
  <c r="K51" i="1"/>
  <c r="K76" i="1" s="1"/>
  <c r="K54" i="1"/>
  <c r="K79" i="1" s="1"/>
  <c r="K58" i="1"/>
  <c r="K83" i="1" s="1"/>
  <c r="K52" i="1"/>
  <c r="K77" i="1" s="1"/>
  <c r="K66" i="1"/>
  <c r="K69" i="1"/>
  <c r="K56" i="1"/>
  <c r="K81" i="1" s="1"/>
  <c r="K63" i="1"/>
  <c r="K88" i="1" s="1"/>
  <c r="K59" i="1"/>
  <c r="K84" i="1" s="1"/>
  <c r="K68" i="1"/>
  <c r="K70" i="1"/>
  <c r="K95" i="1" s="1"/>
  <c r="O62" i="1"/>
  <c r="O87" i="1" s="1"/>
  <c r="O58" i="1"/>
  <c r="O83" i="1" s="1"/>
  <c r="O52" i="1"/>
  <c r="O77" i="1" s="1"/>
  <c r="O53" i="1"/>
  <c r="O78" i="1" s="1"/>
  <c r="O70" i="1"/>
  <c r="O57" i="1"/>
  <c r="O82" i="1" s="1"/>
  <c r="O66" i="1"/>
  <c r="O90" i="1" s="1"/>
  <c r="O69" i="1"/>
  <c r="O93" i="1" s="1"/>
  <c r="O56" i="1"/>
  <c r="O81" i="1" s="1"/>
  <c r="O63" i="1"/>
  <c r="O88" i="1" s="1"/>
  <c r="O59" i="1"/>
  <c r="O84" i="1" s="1"/>
  <c r="O61" i="1"/>
  <c r="O86" i="1" s="1"/>
  <c r="O67" i="1"/>
  <c r="O91" i="1" s="1"/>
  <c r="O68" i="1"/>
  <c r="O92" i="1" s="1"/>
  <c r="O54" i="1"/>
  <c r="O79" i="1" s="1"/>
  <c r="O51" i="1"/>
  <c r="O76" i="1" s="1"/>
  <c r="K96" i="1" l="1"/>
  <c r="K97" i="1" s="1"/>
  <c r="J96" i="1"/>
  <c r="J97" i="1" s="1"/>
  <c r="O94" i="1"/>
  <c r="O95" i="1"/>
  <c r="L96" i="1"/>
  <c r="L97" i="1" s="1"/>
  <c r="P95" i="1"/>
  <c r="P94" i="1"/>
  <c r="Q94" i="1"/>
  <c r="Q95" i="1"/>
  <c r="S95" i="1"/>
  <c r="S94" i="1"/>
  <c r="S96" i="1" s="1"/>
  <c r="S97" i="1" s="1"/>
  <c r="R94" i="1"/>
  <c r="R95" i="1"/>
  <c r="N94" i="1"/>
  <c r="N95" i="1"/>
  <c r="N96" i="1" l="1"/>
  <c r="N97" i="1" s="1"/>
  <c r="R96" i="1"/>
  <c r="R97" i="1" s="1"/>
  <c r="P96" i="1"/>
  <c r="P97" i="1" s="1"/>
  <c r="Q96" i="1"/>
  <c r="Q97" i="1" s="1"/>
  <c r="O96" i="1"/>
  <c r="O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G6" authorId="0" shapeId="0" xr:uid="{5DCF4980-A03D-4438-B7EB-FE7DEF9C720A}">
      <text>
        <r>
          <rPr>
            <b/>
            <sz val="9"/>
            <color indexed="81"/>
            <rFont val="Tahoma"/>
            <family val="2"/>
          </rPr>
          <t>HP:</t>
        </r>
        <r>
          <rPr>
            <sz val="9"/>
            <color indexed="81"/>
            <rFont val="Tahoma"/>
            <family val="2"/>
          </rPr>
          <t xml:space="preserve">
</t>
        </r>
        <r>
          <rPr>
            <b/>
            <sz val="9"/>
            <color indexed="81"/>
            <rFont val="Tahoma"/>
            <family val="2"/>
          </rPr>
          <t>genetic mutations
environmental exposures
ionizing radiation
age-related cellular changes</t>
        </r>
      </text>
    </comment>
    <comment ref="G7" authorId="0" shapeId="0" xr:uid="{1642837B-5594-4B3B-88ED-586CBC061A1F}">
      <text>
        <r>
          <rPr>
            <b/>
            <sz val="9"/>
            <color indexed="81"/>
            <rFont val="Tahoma"/>
            <family val="2"/>
          </rPr>
          <t>HP:</t>
        </r>
        <r>
          <rPr>
            <sz val="9"/>
            <color indexed="81"/>
            <rFont val="Tahoma"/>
            <family val="2"/>
          </rPr>
          <t xml:space="preserve">
</t>
        </r>
        <r>
          <rPr>
            <b/>
            <sz val="9"/>
            <color indexed="81"/>
            <rFont val="Tahoma"/>
            <family val="2"/>
          </rPr>
          <t>developmental and genetic factors</t>
        </r>
      </text>
    </comment>
    <comment ref="G8" authorId="0" shapeId="0" xr:uid="{7A2F592C-45CD-473D-8979-F2D9A3950573}">
      <text>
        <r>
          <rPr>
            <b/>
            <sz val="9"/>
            <color indexed="81"/>
            <rFont val="Tahoma"/>
            <family val="2"/>
          </rPr>
          <t>HP:</t>
        </r>
        <r>
          <rPr>
            <sz val="9"/>
            <color indexed="81"/>
            <rFont val="Tahoma"/>
            <family val="2"/>
          </rPr>
          <t xml:space="preserve">
</t>
        </r>
        <r>
          <rPr>
            <b/>
            <sz val="9"/>
            <color indexed="81"/>
            <rFont val="Tahoma"/>
            <family val="2"/>
          </rPr>
          <t>aging-related molecular alterations 
cumulative environmental exposures</t>
        </r>
      </text>
    </comment>
    <comment ref="H13" authorId="0" shapeId="0" xr:uid="{0F17010F-14B4-4047-A222-9A4B51576EFA}">
      <text>
        <r>
          <rPr>
            <b/>
            <sz val="9"/>
            <color indexed="81"/>
            <rFont val="Tahoma"/>
            <family val="2"/>
          </rPr>
          <t xml:space="preserve">Improved MRI and CT imaging technologies
AI-based image analysis and computer-aided diagnosis
Increased public and physician awareness
Better cancer registries and reporting systems
</t>
        </r>
      </text>
    </comment>
    <comment ref="D20" authorId="0" shapeId="0" xr:uid="{A2ABBFAF-3069-4300-B908-6D22BFC0B36D}">
      <text>
        <r>
          <rPr>
            <b/>
            <sz val="9"/>
            <color indexed="81"/>
            <rFont val="Tahoma"/>
            <family val="2"/>
          </rPr>
          <t>HP:
India’s 2023 population for adults aged 30–60 years was approximately 460 million. While national central nervous system (CNS) registries do not record exact annual brain tumor patient counts for this specific demographic, the national incidence rate is 5 to 10 cases per 100,000 people.</t>
        </r>
      </text>
    </comment>
    <comment ref="H20" authorId="0" shapeId="0" xr:uid="{2439C532-11A5-487C-A4B7-B20BFA030122}">
      <text>
        <r>
          <rPr>
            <b/>
            <sz val="9"/>
            <color indexed="81"/>
            <rFont val="Tahoma"/>
            <family val="2"/>
          </rPr>
          <t>Factors</t>
        </r>
        <r>
          <rPr>
            <sz val="9"/>
            <color indexed="81"/>
            <rFont val="Tahoma"/>
            <family val="2"/>
          </rPr>
          <t xml:space="preserve">
</t>
        </r>
        <r>
          <rPr>
            <b/>
            <sz val="9"/>
            <color indexed="81"/>
            <rFont val="Tahoma"/>
            <family val="2"/>
          </rPr>
          <t>Delayed Diagnosis (lack of early-stage screening awareness )
Healthcare Disparities
Economic challenges 
unavabiity of thraputic treatments</t>
        </r>
      </text>
    </comment>
    <comment ref="G22" authorId="0" shapeId="0" xr:uid="{002775D1-0164-4341-A4DD-D92A59B65C29}">
      <text>
        <r>
          <rPr>
            <b/>
            <sz val="9"/>
            <color indexed="81"/>
            <rFont val="Calibri"/>
            <family val="2"/>
            <scheme val="minor"/>
          </rPr>
          <t xml:space="preserve">Factors
Technological Advancements: Neuro-navigation systems, high-precision microscopes
Modern radiotherapy, chemotherapy
Size and Location: Tumors in easily accessible areas are typically less complex to treat than those located deep within vital brain structures.
Improved access to and sensitivity of MRI and CT scans </t>
        </r>
        <r>
          <rPr>
            <sz val="9"/>
            <color indexed="81"/>
            <rFont val="Tahoma"/>
            <family val="2"/>
          </rPr>
          <t xml:space="preserve">
</t>
        </r>
      </text>
    </comment>
  </commentList>
</comments>
</file>

<file path=xl/sharedStrings.xml><?xml version="1.0" encoding="utf-8"?>
<sst xmlns="http://schemas.openxmlformats.org/spreadsheetml/2006/main" count="126" uniqueCount="58">
  <si>
    <t>Indication</t>
  </si>
  <si>
    <t xml:space="preserve">Geography </t>
  </si>
  <si>
    <t>India</t>
  </si>
  <si>
    <t xml:space="preserve">India Brain tumor Market </t>
  </si>
  <si>
    <t>Brain tumor</t>
  </si>
  <si>
    <t>Total Market Size</t>
  </si>
  <si>
    <t>Forecast Year</t>
  </si>
  <si>
    <t>2023-2034</t>
  </si>
  <si>
    <t xml:space="preserve">Project Details </t>
  </si>
  <si>
    <t>CAGR(2027-2034)</t>
  </si>
  <si>
    <t xml:space="preserve">Population </t>
  </si>
  <si>
    <t>Prevelance Pool</t>
  </si>
  <si>
    <t>Presentation Rate %</t>
  </si>
  <si>
    <t>Prevelance Rate %</t>
  </si>
  <si>
    <t xml:space="preserve">Prevelance Pool with  Presentation </t>
  </si>
  <si>
    <t xml:space="preserve">Dignosis Rate % </t>
  </si>
  <si>
    <t>Dignosed Prevelance Pool</t>
  </si>
  <si>
    <t>Treatment Rate %</t>
  </si>
  <si>
    <t xml:space="preserve">Treatable Pool </t>
  </si>
  <si>
    <t>Acesses Rated Pool</t>
  </si>
  <si>
    <t>Treatment Prevelant  Pool</t>
  </si>
  <si>
    <t xml:space="preserve">India Population </t>
  </si>
  <si>
    <t>1.47 billion in 2026</t>
  </si>
  <si>
    <t xml:space="preserve">1.43 Billion </t>
  </si>
  <si>
    <t xml:space="preserve">143,000 Million in 2023 </t>
  </si>
  <si>
    <t xml:space="preserve">Brain Cases By agae </t>
  </si>
  <si>
    <t>Adults (30–60 years)</t>
  </si>
  <si>
    <t>Pediatric (0–19 years)</t>
  </si>
  <si>
    <t>Older Adults (60+ years)</t>
  </si>
  <si>
    <t>Input</t>
  </si>
  <si>
    <t xml:space="preserve">143 Million </t>
  </si>
  <si>
    <t>Grade 4 brain cancer</t>
  </si>
  <si>
    <t>Grade 3 brain cancer</t>
  </si>
  <si>
    <t xml:space="preserve">Grade 1 brain cancer </t>
  </si>
  <si>
    <t xml:space="preserve">Grade 2 brain cancer </t>
  </si>
  <si>
    <t>Accces Rate %</t>
  </si>
  <si>
    <t>Market Drugs</t>
  </si>
  <si>
    <t>Chemotherapy</t>
  </si>
  <si>
    <t>Temozolomide (Temodar)</t>
  </si>
  <si>
    <t>Nitrosoureas (Lomustine (CCNU) and Carmustine (BCNU)</t>
  </si>
  <si>
    <t>PCV Regimen (Procarbazine, CCNU,Vincristine)</t>
  </si>
  <si>
    <t>Targeted Therapies</t>
  </si>
  <si>
    <t>Bevacizumab (Avastin)</t>
  </si>
  <si>
    <t>Vorasidenib (Voranigo)</t>
  </si>
  <si>
    <t>Everolimus</t>
  </si>
  <si>
    <t>Supportive Medications</t>
  </si>
  <si>
    <t>Corticosteroids (e.g., Dexamethasone)</t>
  </si>
  <si>
    <t>Anticonvulsants (e.g., Levetiracetam)</t>
  </si>
  <si>
    <t>others</t>
  </si>
  <si>
    <t>Pipline</t>
  </si>
  <si>
    <t>A</t>
  </si>
  <si>
    <t>B</t>
  </si>
  <si>
    <t>c</t>
  </si>
  <si>
    <t>D</t>
  </si>
  <si>
    <t>Market Size = Number of patient *  ACOT</t>
  </si>
  <si>
    <t>Compilance (95%)</t>
  </si>
  <si>
    <t xml:space="preserve">Total Market Size </t>
  </si>
  <si>
    <t xml:space="preserve">Total Market Size USD Million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</si>
</sst>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9" x14ac:knownFonts="1">
    <font>
      <sz val="11"/>
      <color theme="1"/>
      <name val="Calibri"/>
      <family val="2"/>
      <scheme val="minor"/>
    </font>
    <font>
      <b/>
      <sz val="11"/>
      <color theme="1"/>
      <name val="Calibri"/>
      <family val="2"/>
      <scheme val="minor"/>
    </font>
    <font>
      <i/>
      <sz val="11"/>
      <color theme="1"/>
      <name val="Calibri"/>
      <family val="2"/>
      <scheme val="minor"/>
    </font>
    <font>
      <sz val="9"/>
      <color indexed="81"/>
      <name val="Tahoma"/>
      <family val="2"/>
    </font>
    <font>
      <b/>
      <sz val="9"/>
      <color indexed="81"/>
      <name val="Tahoma"/>
      <family val="2"/>
    </font>
    <font>
      <sz val="11"/>
      <color rgb="FF333333"/>
      <name val="Calibri"/>
      <family val="2"/>
      <scheme val="minor"/>
    </font>
    <font>
      <i/>
      <sz val="11"/>
      <color rgb="FF333333"/>
      <name val="Calibri"/>
      <family val="2"/>
      <scheme val="minor"/>
    </font>
    <font>
      <b/>
      <sz val="12"/>
      <color theme="1"/>
      <name val="Calibri"/>
      <family val="2"/>
      <scheme val="minor"/>
    </font>
    <font>
      <b/>
      <sz val="9"/>
      <color indexed="8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9">
    <xf numFmtId="0" fontId="0" fillId="0" borderId="0" xfId="0"/>
    <xf numFmtId="0" fontId="0" fillId="2" borderId="0" xfId="0" applyFill="1"/>
    <xf numFmtId="0" fontId="0" fillId="3" borderId="0" xfId="0" applyFill="1"/>
    <xf numFmtId="0" fontId="1" fillId="0" borderId="0" xfId="0" applyFont="1"/>
    <xf numFmtId="0" fontId="1" fillId="0" borderId="0" xfId="0" applyFont="1" applyAlignment="1">
      <alignment horizontal="center"/>
    </xf>
    <xf numFmtId="0" fontId="0" fillId="0" borderId="1" xfId="0" applyBorder="1"/>
    <xf numFmtId="0" fontId="1" fillId="0" borderId="1" xfId="0" applyFont="1" applyBorder="1" applyAlignment="1">
      <alignment horizontal="center"/>
    </xf>
    <xf numFmtId="0" fontId="0" fillId="0" borderId="3" xfId="0" applyBorder="1"/>
    <xf numFmtId="0" fontId="0" fillId="0" borderId="4" xfId="0" applyBorder="1"/>
    <xf numFmtId="0" fontId="0" fillId="0" borderId="5" xfId="0" applyBorder="1"/>
    <xf numFmtId="3" fontId="0" fillId="0" borderId="0" xfId="0" applyNumberFormat="1"/>
    <xf numFmtId="3" fontId="1" fillId="0" borderId="0" xfId="0" applyNumberFormat="1" applyFont="1"/>
    <xf numFmtId="10" fontId="0" fillId="0" borderId="0" xfId="0" applyNumberFormat="1"/>
    <xf numFmtId="164" fontId="0" fillId="0" borderId="0" xfId="0" applyNumberFormat="1"/>
    <xf numFmtId="9" fontId="0" fillId="0" borderId="0" xfId="0" applyNumberFormat="1"/>
    <xf numFmtId="166" fontId="0" fillId="0" borderId="0" xfId="0" applyNumberFormat="1"/>
    <xf numFmtId="9" fontId="0" fillId="0" borderId="0" xfId="0" applyNumberFormat="1" applyAlignment="1">
      <alignment horizontal="center"/>
    </xf>
    <xf numFmtId="10" fontId="0" fillId="0" borderId="0" xfId="0" applyNumberFormat="1" applyAlignment="1">
      <alignment horizontal="center"/>
    </xf>
    <xf numFmtId="0" fontId="0" fillId="3" borderId="1" xfId="0" applyFill="1" applyBorder="1" applyAlignment="1">
      <alignment horizontal="center"/>
    </xf>
    <xf numFmtId="9" fontId="0" fillId="3" borderId="0" xfId="0" applyNumberFormat="1" applyFill="1" applyAlignment="1">
      <alignment horizontal="center"/>
    </xf>
    <xf numFmtId="9" fontId="0" fillId="3" borderId="1" xfId="0" applyNumberFormat="1" applyFill="1" applyBorder="1" applyAlignment="1">
      <alignment horizontal="center"/>
    </xf>
    <xf numFmtId="0" fontId="1" fillId="3" borderId="1" xfId="0" applyFont="1" applyFill="1" applyBorder="1" applyAlignment="1">
      <alignment horizontal="center"/>
    </xf>
    <xf numFmtId="9" fontId="5" fillId="3" borderId="1" xfId="0" applyNumberFormat="1" applyFont="1" applyFill="1" applyBorder="1" applyAlignment="1">
      <alignment horizontal="center"/>
    </xf>
    <xf numFmtId="0" fontId="1" fillId="3" borderId="1" xfId="0" applyFont="1" applyFill="1" applyBorder="1"/>
    <xf numFmtId="0" fontId="1" fillId="3" borderId="2" xfId="0" applyFont="1" applyFill="1" applyBorder="1" applyAlignment="1">
      <alignment horizontal="center"/>
    </xf>
    <xf numFmtId="9" fontId="0" fillId="4" borderId="1" xfId="0" applyNumberFormat="1" applyFill="1" applyBorder="1" applyAlignment="1">
      <alignment horizontal="center"/>
    </xf>
    <xf numFmtId="9" fontId="2" fillId="4" borderId="1" xfId="0" applyNumberFormat="1" applyFont="1" applyFill="1" applyBorder="1" applyAlignment="1">
      <alignment horizontal="center"/>
    </xf>
    <xf numFmtId="0" fontId="2" fillId="4" borderId="1" xfId="0" applyFont="1" applyFill="1" applyBorder="1"/>
    <xf numFmtId="0" fontId="0" fillId="4" borderId="3" xfId="0" applyFill="1" applyBorder="1"/>
    <xf numFmtId="3" fontId="0" fillId="5" borderId="1" xfId="0" applyNumberFormat="1" applyFill="1" applyBorder="1" applyAlignment="1">
      <alignment horizontal="center"/>
    </xf>
    <xf numFmtId="9" fontId="2" fillId="5" borderId="1" xfId="0" applyNumberFormat="1" applyFont="1" applyFill="1" applyBorder="1" applyAlignment="1">
      <alignment horizontal="center"/>
    </xf>
    <xf numFmtId="10" fontId="2" fillId="5" borderId="1" xfId="0" applyNumberFormat="1" applyFont="1" applyFill="1" applyBorder="1" applyAlignment="1">
      <alignment horizontal="center"/>
    </xf>
    <xf numFmtId="164" fontId="2" fillId="5" borderId="1" xfId="0" applyNumberFormat="1" applyFont="1" applyFill="1" applyBorder="1" applyAlignment="1">
      <alignment horizontal="center"/>
    </xf>
    <xf numFmtId="9" fontId="0" fillId="5" borderId="1" xfId="0" applyNumberFormat="1" applyFill="1" applyBorder="1" applyAlignment="1">
      <alignment horizontal="center"/>
    </xf>
    <xf numFmtId="0" fontId="2" fillId="5" borderId="1" xfId="0" applyFont="1" applyFill="1" applyBorder="1"/>
    <xf numFmtId="0" fontId="0" fillId="5" borderId="1" xfId="0" applyFill="1" applyBorder="1"/>
    <xf numFmtId="0" fontId="1" fillId="5" borderId="1" xfId="0" applyFont="1" applyFill="1" applyBorder="1"/>
    <xf numFmtId="0" fontId="6" fillId="5" borderId="1" xfId="0" applyFont="1" applyFill="1" applyBorder="1" applyAlignment="1">
      <alignment horizontal="center"/>
    </xf>
    <xf numFmtId="0" fontId="7" fillId="5" borderId="1" xfId="0" applyFont="1" applyFill="1" applyBorder="1"/>
    <xf numFmtId="165" fontId="1" fillId="0" borderId="0" xfId="0" applyNumberFormat="1" applyFont="1"/>
    <xf numFmtId="9" fontId="0" fillId="0" borderId="3" xfId="0" applyNumberFormat="1" applyBorder="1"/>
    <xf numFmtId="0" fontId="1" fillId="5" borderId="0" xfId="0" applyFont="1" applyFill="1"/>
    <xf numFmtId="0" fontId="2" fillId="2" borderId="1" xfId="0" applyFont="1" applyFill="1" applyBorder="1"/>
    <xf numFmtId="10" fontId="0" fillId="2" borderId="0" xfId="0" applyNumberFormat="1" applyFill="1" applyAlignment="1">
      <alignment horizontal="center"/>
    </xf>
    <xf numFmtId="3" fontId="0" fillId="0" borderId="0" xfId="0" applyNumberFormat="1" applyAlignment="1">
      <alignment horizontal="center"/>
    </xf>
    <xf numFmtId="1" fontId="0" fillId="0" borderId="0" xfId="0" applyNumberFormat="1"/>
    <xf numFmtId="0" fontId="1" fillId="5" borderId="6" xfId="0" applyFont="1" applyFill="1" applyBorder="1"/>
    <xf numFmtId="0" fontId="0" fillId="0" borderId="7" xfId="0" applyBorder="1"/>
    <xf numFmtId="0" fontId="0" fillId="0" borderId="8" xfId="0" applyBorder="1"/>
    <xf numFmtId="0" fontId="1" fillId="0" borderId="9" xfId="0" applyFont="1" applyBorder="1"/>
    <xf numFmtId="0" fontId="0" fillId="0" borderId="10" xfId="0" applyBorder="1"/>
    <xf numFmtId="0" fontId="0" fillId="0" borderId="9" xfId="0" applyBorder="1"/>
    <xf numFmtId="3" fontId="0" fillId="0" borderId="10" xfId="0" applyNumberFormat="1" applyBorder="1" applyAlignment="1">
      <alignment horizontal="center"/>
    </xf>
    <xf numFmtId="0" fontId="1" fillId="0" borderId="11" xfId="0" applyFont="1" applyBorder="1"/>
    <xf numFmtId="3" fontId="0" fillId="0" borderId="5" xfId="0" applyNumberFormat="1" applyBorder="1" applyAlignment="1">
      <alignment horizontal="center"/>
    </xf>
    <xf numFmtId="3" fontId="0" fillId="0" borderId="12" xfId="0" applyNumberFormat="1" applyBorder="1" applyAlignment="1">
      <alignment horizontal="center"/>
    </xf>
    <xf numFmtId="3" fontId="1" fillId="0" borderId="0" xfId="0" applyNumberFormat="1" applyFont="1" applyAlignment="1">
      <alignment horizontal="center"/>
    </xf>
    <xf numFmtId="0" fontId="1" fillId="3" borderId="0" xfId="0" applyFont="1"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bwhealthcareworld.com/article/battling-the-brain-tumor-burden-challenges-advancements-in-india-559266" TargetMode="External"/><Relationship Id="rId1" Type="http://schemas.openxmlformats.org/officeDocument/2006/relationships/image" Target="../media/image1.png"/><Relationship Id="rId5" Type="http://schemas.openxmlformats.org/officeDocument/2006/relationships/image" Target="../media/image3.png"/><Relationship Id="rId4" Type="http://schemas.openxmlformats.org/officeDocument/2006/relationships/hyperlink" Target="https://pmc.ncbi.nlm.nih.gov/articles/PMC4991137/"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22</xdr:row>
      <xdr:rowOff>38718</xdr:rowOff>
    </xdr:from>
    <xdr:to>
      <xdr:col>5</xdr:col>
      <xdr:colOff>130245</xdr:colOff>
      <xdr:row>27</xdr:row>
      <xdr:rowOff>80636</xdr:rowOff>
    </xdr:to>
    <xdr:pic>
      <xdr:nvPicPr>
        <xdr:cNvPr id="6" name="Picture 5">
          <a:extLst>
            <a:ext uri="{FF2B5EF4-FFF2-40B4-BE49-F238E27FC236}">
              <a16:creationId xmlns:a16="http://schemas.microsoft.com/office/drawing/2014/main" id="{1C4B54E1-2899-4F71-8446-73D4C038430F}"/>
            </a:ext>
          </a:extLst>
        </xdr:cNvPr>
        <xdr:cNvPicPr>
          <a:picLocks noChangeAspect="1"/>
        </xdr:cNvPicPr>
      </xdr:nvPicPr>
      <xdr:blipFill>
        <a:blip xmlns:r="http://schemas.openxmlformats.org/officeDocument/2006/relationships" r:embed="rId1"/>
        <a:stretch>
          <a:fillRect/>
        </a:stretch>
      </xdr:blipFill>
      <xdr:spPr>
        <a:xfrm>
          <a:off x="1" y="4060385"/>
          <a:ext cx="5018736" cy="959140"/>
        </a:xfrm>
        <a:prstGeom prst="rect">
          <a:avLst/>
        </a:prstGeom>
      </xdr:spPr>
    </xdr:pic>
    <xdr:clientData/>
  </xdr:twoCellAnchor>
  <xdr:twoCellAnchor editAs="oneCell">
    <xdr:from>
      <xdr:col>0</xdr:col>
      <xdr:colOff>1</xdr:colOff>
      <xdr:row>26</xdr:row>
      <xdr:rowOff>1</xdr:rowOff>
    </xdr:from>
    <xdr:to>
      <xdr:col>3</xdr:col>
      <xdr:colOff>429424</xdr:colOff>
      <xdr:row>29</xdr:row>
      <xdr:rowOff>85183</xdr:rowOff>
    </xdr:to>
    <xdr:pic>
      <xdr:nvPicPr>
        <xdr:cNvPr id="7" name="Picture 6">
          <a:hlinkClick xmlns:r="http://schemas.openxmlformats.org/officeDocument/2006/relationships" r:id="rId2"/>
          <a:extLst>
            <a:ext uri="{FF2B5EF4-FFF2-40B4-BE49-F238E27FC236}">
              <a16:creationId xmlns:a16="http://schemas.microsoft.com/office/drawing/2014/main" id="{A5CE99A4-88BF-EFE1-6F40-C9CF8266478E}"/>
            </a:ext>
          </a:extLst>
        </xdr:cNvPr>
        <xdr:cNvPicPr>
          <a:picLocks noChangeAspect="1"/>
        </xdr:cNvPicPr>
      </xdr:nvPicPr>
      <xdr:blipFill>
        <a:blip xmlns:r="http://schemas.openxmlformats.org/officeDocument/2006/relationships" r:embed="rId3"/>
        <a:stretch>
          <a:fillRect/>
        </a:stretch>
      </xdr:blipFill>
      <xdr:spPr>
        <a:xfrm>
          <a:off x="1" y="4104269"/>
          <a:ext cx="2876496" cy="642744"/>
        </a:xfrm>
        <a:prstGeom prst="rect">
          <a:avLst/>
        </a:prstGeom>
      </xdr:spPr>
    </xdr:pic>
    <xdr:clientData/>
  </xdr:twoCellAnchor>
  <xdr:twoCellAnchor editAs="oneCell">
    <xdr:from>
      <xdr:col>0</xdr:col>
      <xdr:colOff>0</xdr:colOff>
      <xdr:row>30</xdr:row>
      <xdr:rowOff>46464</xdr:rowOff>
    </xdr:from>
    <xdr:to>
      <xdr:col>3</xdr:col>
      <xdr:colOff>454346</xdr:colOff>
      <xdr:row>32</xdr:row>
      <xdr:rowOff>30976</xdr:rowOff>
    </xdr:to>
    <xdr:pic>
      <xdr:nvPicPr>
        <xdr:cNvPr id="8" name="Picture 7">
          <a:hlinkClick xmlns:r="http://schemas.openxmlformats.org/officeDocument/2006/relationships" r:id="rId4"/>
          <a:extLst>
            <a:ext uri="{FF2B5EF4-FFF2-40B4-BE49-F238E27FC236}">
              <a16:creationId xmlns:a16="http://schemas.microsoft.com/office/drawing/2014/main" id="{0EEEA4F9-3513-4CF3-C275-24A680BFE693}"/>
            </a:ext>
          </a:extLst>
        </xdr:cNvPr>
        <xdr:cNvPicPr>
          <a:picLocks noChangeAspect="1"/>
        </xdr:cNvPicPr>
      </xdr:nvPicPr>
      <xdr:blipFill>
        <a:blip xmlns:r="http://schemas.openxmlformats.org/officeDocument/2006/relationships" r:embed="rId5"/>
        <a:stretch>
          <a:fillRect/>
        </a:stretch>
      </xdr:blipFill>
      <xdr:spPr>
        <a:xfrm>
          <a:off x="0" y="4894147"/>
          <a:ext cx="2901419" cy="3562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133350</xdr:colOff>
      <xdr:row>0</xdr:row>
      <xdr:rowOff>31750</xdr:rowOff>
    </xdr:from>
    <xdr:to>
      <xdr:col>8</xdr:col>
      <xdr:colOff>387488</xdr:colOff>
      <xdr:row>20</xdr:row>
      <xdr:rowOff>70041</xdr:rowOff>
    </xdr:to>
    <xdr:pic>
      <xdr:nvPicPr>
        <xdr:cNvPr id="2" name="Picture 1">
          <a:extLst>
            <a:ext uri="{FF2B5EF4-FFF2-40B4-BE49-F238E27FC236}">
              <a16:creationId xmlns:a16="http://schemas.microsoft.com/office/drawing/2014/main" id="{073C71A1-4BD6-D3D2-CBFF-930F72A2384C}"/>
            </a:ext>
          </a:extLst>
        </xdr:cNvPr>
        <xdr:cNvPicPr>
          <a:picLocks noChangeAspect="1"/>
        </xdr:cNvPicPr>
      </xdr:nvPicPr>
      <xdr:blipFill>
        <a:blip xmlns:r="http://schemas.openxmlformats.org/officeDocument/2006/relationships" r:embed="rId1"/>
        <a:stretch>
          <a:fillRect/>
        </a:stretch>
      </xdr:blipFill>
      <xdr:spPr>
        <a:xfrm>
          <a:off x="2571750" y="31750"/>
          <a:ext cx="2692538" cy="372129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21F7F-D9CB-4DF5-9889-0AE27D5CFE29}">
  <dimension ref="A1:AH98"/>
  <sheetViews>
    <sheetView zoomScale="63" zoomScaleNormal="63" workbookViewId="0">
      <selection activeCell="G25" sqref="G25"/>
    </sheetView>
  </sheetViews>
  <sheetFormatPr defaultRowHeight="14.5" x14ac:dyDescent="0.35"/>
  <cols>
    <col min="1" max="1" width="10" bestFit="1" customWidth="1"/>
    <col min="3" max="3" width="16.26953125" customWidth="1"/>
    <col min="4" max="4" width="23.26953125" customWidth="1"/>
    <col min="5" max="5" width="11.81640625" customWidth="1"/>
    <col min="7" max="7" width="46.54296875" customWidth="1"/>
    <col min="8" max="8" width="33.54296875" customWidth="1"/>
    <col min="9" max="9" width="17.08984375" customWidth="1"/>
    <col min="10" max="10" width="13.08984375" customWidth="1"/>
    <col min="11" max="11" width="11.6328125" bestFit="1" customWidth="1"/>
    <col min="12" max="12" width="14.36328125" customWidth="1"/>
    <col min="13" max="14" width="15.26953125" bestFit="1" customWidth="1"/>
    <col min="15" max="17" width="21.36328125" bestFit="1" customWidth="1"/>
    <col min="18" max="19" width="28.81640625" bestFit="1" customWidth="1"/>
    <col min="20" max="20" width="12.7265625" customWidth="1"/>
    <col min="21" max="21" width="12.36328125" customWidth="1"/>
    <col min="22" max="22" width="8.7265625" customWidth="1"/>
    <col min="23" max="23" width="11.08984375" customWidth="1"/>
  </cols>
  <sheetData>
    <row r="1" spans="1:34" x14ac:dyDescent="0.35">
      <c r="G1" s="58" t="s">
        <v>3</v>
      </c>
      <c r="H1" s="58"/>
      <c r="I1" s="58"/>
    </row>
    <row r="2" spans="1:34" x14ac:dyDescent="0.35">
      <c r="C2" s="1" t="s">
        <v>8</v>
      </c>
    </row>
    <row r="3" spans="1:34" ht="15" thickBot="1" x14ac:dyDescent="0.4">
      <c r="A3">
        <v>148</v>
      </c>
      <c r="C3" s="57" t="s">
        <v>0</v>
      </c>
      <c r="D3" s="2" t="s">
        <v>4</v>
      </c>
    </row>
    <row r="4" spans="1:34" x14ac:dyDescent="0.35">
      <c r="A4">
        <f>A3*10^6</f>
        <v>148000000</v>
      </c>
      <c r="C4" s="57" t="s">
        <v>1</v>
      </c>
      <c r="D4" s="2" t="s">
        <v>2</v>
      </c>
      <c r="G4" s="5"/>
      <c r="H4" s="23" t="s">
        <v>29</v>
      </c>
      <c r="I4" s="21">
        <v>2023</v>
      </c>
      <c r="J4" s="21">
        <f>I4+1</f>
        <v>2024</v>
      </c>
      <c r="K4" s="21">
        <f t="shared" ref="K4:T4" si="0">J4+1</f>
        <v>2025</v>
      </c>
      <c r="L4" s="21">
        <f t="shared" si="0"/>
        <v>2026</v>
      </c>
      <c r="M4" s="21">
        <f t="shared" si="0"/>
        <v>2027</v>
      </c>
      <c r="N4" s="21">
        <f t="shared" si="0"/>
        <v>2028</v>
      </c>
      <c r="O4" s="21">
        <f t="shared" si="0"/>
        <v>2029</v>
      </c>
      <c r="P4" s="21">
        <f t="shared" si="0"/>
        <v>2030</v>
      </c>
      <c r="Q4" s="21">
        <f t="shared" si="0"/>
        <v>2031</v>
      </c>
      <c r="R4" s="21">
        <f t="shared" si="0"/>
        <v>2032</v>
      </c>
      <c r="S4" s="21">
        <f t="shared" si="0"/>
        <v>2033</v>
      </c>
      <c r="T4" s="21">
        <f t="shared" si="0"/>
        <v>2034</v>
      </c>
      <c r="U4" s="24" t="s">
        <v>9</v>
      </c>
      <c r="V4" s="4"/>
      <c r="W4" s="6">
        <v>2024</v>
      </c>
      <c r="X4" s="6">
        <f>W4+1</f>
        <v>2025</v>
      </c>
      <c r="Y4" s="6">
        <f t="shared" ref="Y4:AG4" si="1">X4+1</f>
        <v>2026</v>
      </c>
      <c r="Z4" s="6">
        <f t="shared" si="1"/>
        <v>2027</v>
      </c>
      <c r="AA4" s="6">
        <f t="shared" si="1"/>
        <v>2028</v>
      </c>
      <c r="AB4" s="6">
        <f t="shared" si="1"/>
        <v>2029</v>
      </c>
      <c r="AC4" s="6">
        <f t="shared" si="1"/>
        <v>2030</v>
      </c>
      <c r="AD4" s="6">
        <f t="shared" si="1"/>
        <v>2031</v>
      </c>
      <c r="AE4" s="6">
        <f t="shared" si="1"/>
        <v>2032</v>
      </c>
      <c r="AF4" s="6">
        <f t="shared" si="1"/>
        <v>2033</v>
      </c>
      <c r="AG4" s="6">
        <f t="shared" si="1"/>
        <v>2034</v>
      </c>
      <c r="AH4" s="6"/>
    </row>
    <row r="5" spans="1:34" ht="15.5" x14ac:dyDescent="0.35">
      <c r="C5" s="57" t="s">
        <v>5</v>
      </c>
      <c r="D5" s="2"/>
      <c r="G5" s="38" t="s">
        <v>10</v>
      </c>
      <c r="H5" s="18" t="s">
        <v>30</v>
      </c>
      <c r="I5" s="29">
        <v>143000000</v>
      </c>
      <c r="J5" s="29"/>
      <c r="K5" s="29"/>
      <c r="L5" s="29">
        <v>148000000</v>
      </c>
      <c r="M5" s="29"/>
      <c r="N5" s="29"/>
      <c r="O5" s="29"/>
      <c r="P5" s="29"/>
      <c r="Q5" s="29"/>
      <c r="R5" s="29"/>
      <c r="S5" s="29"/>
      <c r="T5" s="29"/>
      <c r="U5" s="7"/>
      <c r="W5" s="13">
        <v>1.494660067553137E-2</v>
      </c>
      <c r="X5" s="13">
        <v>1.5360903982126565E-2</v>
      </c>
      <c r="Y5" s="13">
        <v>1.5786691320013015E-2</v>
      </c>
      <c r="Z5" s="13">
        <v>1.622428101388811E-2</v>
      </c>
      <c r="AA5" s="13">
        <v>1.6674000212059205E-2</v>
      </c>
      <c r="AB5" s="13">
        <v>1.7136185131024363E-2</v>
      </c>
      <c r="AC5" s="13">
        <v>1.7611181306832639E-2</v>
      </c>
      <c r="AD5" s="13">
        <v>1.8099343853411734E-2</v>
      </c>
      <c r="AE5" s="13">
        <v>1.8601037728056265E-2</v>
      </c>
      <c r="AF5" s="13">
        <v>1.9116638004275037E-2</v>
      </c>
      <c r="AG5" s="13">
        <v>1.9646530152201372E-2</v>
      </c>
      <c r="AH5" s="13"/>
    </row>
    <row r="6" spans="1:34" x14ac:dyDescent="0.35">
      <c r="C6" s="57"/>
      <c r="D6" s="2"/>
      <c r="G6" s="34" t="s">
        <v>26</v>
      </c>
      <c r="H6" s="19">
        <v>0.32</v>
      </c>
      <c r="I6" s="29">
        <v>45760000</v>
      </c>
      <c r="J6" s="29">
        <f>I6*(1+W5)</f>
        <v>46443956.446912318</v>
      </c>
      <c r="K6" s="29">
        <f t="shared" ref="K6:T6" si="2">$J6*(1+X5)</f>
        <v>47157377.602443404</v>
      </c>
      <c r="L6" s="29">
        <f t="shared" si="2"/>
        <v>47177152.851019852</v>
      </c>
      <c r="M6" s="29">
        <f t="shared" si="2"/>
        <v>47197476.247703806</v>
      </c>
      <c r="N6" s="29">
        <f t="shared" si="2"/>
        <v>47218362.986556999</v>
      </c>
      <c r="O6" s="29">
        <f t="shared" si="2"/>
        <v>47239828.682803839</v>
      </c>
      <c r="P6" s="29">
        <f t="shared" si="2"/>
        <v>47261889.384505533</v>
      </c>
      <c r="Q6" s="29">
        <f t="shared" si="2"/>
        <v>47284561.584557869</v>
      </c>
      <c r="R6" s="29">
        <f t="shared" si="2"/>
        <v>47307862.233021542</v>
      </c>
      <c r="S6" s="29">
        <f t="shared" si="2"/>
        <v>47331808.74979426</v>
      </c>
      <c r="T6" s="29">
        <f t="shared" si="2"/>
        <v>47356419.037634104</v>
      </c>
      <c r="U6" s="40"/>
      <c r="W6" s="14">
        <v>2.3E-2</v>
      </c>
      <c r="X6" s="14">
        <v>2.3192579464083207E-2</v>
      </c>
      <c r="Y6" s="14">
        <v>2.338677139990496E-2</v>
      </c>
      <c r="Z6" s="14">
        <v>2.3582589308723662E-2</v>
      </c>
      <c r="AA6" s="14">
        <v>2.3780046804844027E-2</v>
      </c>
      <c r="AB6" s="14">
        <v>2.397915761656361E-2</v>
      </c>
      <c r="AC6" s="14">
        <v>2.4179935587127291E-2</v>
      </c>
      <c r="AD6" s="14">
        <v>2.43823946756897E-2</v>
      </c>
      <c r="AE6" s="14">
        <v>2.4586548958285766E-2</v>
      </c>
      <c r="AF6" s="14">
        <v>2.4792412628809341E-2</v>
      </c>
      <c r="AG6" s="14">
        <v>2.5000000000000029E-2</v>
      </c>
    </row>
    <row r="7" spans="1:34" x14ac:dyDescent="0.35">
      <c r="C7" s="57"/>
      <c r="D7" s="2"/>
      <c r="G7" s="42" t="s">
        <v>27</v>
      </c>
      <c r="H7" s="43">
        <v>0.31290000000000001</v>
      </c>
      <c r="I7" s="29">
        <v>44744700</v>
      </c>
      <c r="J7" s="29">
        <f>I7*(1+W6)</f>
        <v>45773828.099999994</v>
      </c>
      <c r="K7" s="29">
        <f t="shared" ref="K7:T7" si="3">J7*(1+X6)</f>
        <v>46835441.245584533</v>
      </c>
      <c r="L7" s="29">
        <f t="shared" si="3"/>
        <v>47930771.0034087</v>
      </c>
      <c r="M7" s="29">
        <f t="shared" si="3"/>
        <v>49061102.691232562</v>
      </c>
      <c r="N7" s="29">
        <f t="shared" si="3"/>
        <v>50227778.009527341</v>
      </c>
      <c r="O7" s="29">
        <f t="shared" si="3"/>
        <v>51432197.815147564</v>
      </c>
      <c r="P7" s="29">
        <f t="shared" si="3"/>
        <v>52675825.045422219</v>
      </c>
      <c r="Q7" s="29">
        <f t="shared" si="3"/>
        <v>53960187.801547281</v>
      </c>
      <c r="R7" s="29">
        <f t="shared" si="3"/>
        <v>55286882.600728318</v>
      </c>
      <c r="S7" s="29">
        <f t="shared" si="3"/>
        <v>56657577.807126112</v>
      </c>
      <c r="T7" s="29">
        <f t="shared" si="3"/>
        <v>58074017.252304271</v>
      </c>
      <c r="U7" s="7"/>
      <c r="W7" s="14">
        <v>2.0000000000000004E-2</v>
      </c>
      <c r="X7" s="14">
        <v>2.0367987522940487E-2</v>
      </c>
      <c r="Y7" s="14">
        <v>2.0742745786732967E-2</v>
      </c>
      <c r="Z7" s="14">
        <v>2.1124399368785171E-2</v>
      </c>
      <c r="AA7" s="14">
        <v>2.1513075138651413E-2</v>
      </c>
      <c r="AB7" s="14">
        <v>2.1908902300206652E-2</v>
      </c>
      <c r="AC7" s="14">
        <v>2.2312012434596559E-2</v>
      </c>
      <c r="AD7" s="14">
        <v>2.2722539543977786E-2</v>
      </c>
      <c r="AE7" s="14">
        <v>2.3140620096063064E-2</v>
      </c>
      <c r="AF7" s="14">
        <v>2.3566393069485918E-2</v>
      </c>
      <c r="AG7" s="14">
        <v>2.4000000000000018E-2</v>
      </c>
    </row>
    <row r="8" spans="1:34" x14ac:dyDescent="0.35">
      <c r="C8" s="57"/>
      <c r="D8" s="2"/>
      <c r="G8" s="42" t="s">
        <v>28</v>
      </c>
      <c r="H8" s="43">
        <v>0.106</v>
      </c>
      <c r="I8" s="29">
        <v>15158000</v>
      </c>
      <c r="J8" s="29">
        <f>I8*(1+W7)</f>
        <v>15461160</v>
      </c>
      <c r="K8" s="29">
        <f t="shared" ref="K8:T8" si="4">J8*(1+X7)</f>
        <v>15776072.713970188</v>
      </c>
      <c r="L8" s="29">
        <f t="shared" si="4"/>
        <v>16103311.779789088</v>
      </c>
      <c r="M8" s="29">
        <f t="shared" si="4"/>
        <v>16443484.568985414</v>
      </c>
      <c r="N8" s="29">
        <f t="shared" si="4"/>
        <v>16797234.488059253</v>
      </c>
      <c r="O8" s="29">
        <f t="shared" si="4"/>
        <v>17165243.457371805</v>
      </c>
      <c r="P8" s="29">
        <f t="shared" si="4"/>
        <v>17548234.582835563</v>
      </c>
      <c r="Q8" s="29">
        <f t="shared" si="4"/>
        <v>17946975.037071042</v>
      </c>
      <c r="R8" s="29">
        <f t="shared" si="4"/>
        <v>18362279.168277431</v>
      </c>
      <c r="S8" s="29">
        <f t="shared" si="4"/>
        <v>18795011.856808688</v>
      </c>
      <c r="T8" s="29">
        <f t="shared" si="4"/>
        <v>19246092.141372096</v>
      </c>
      <c r="U8" s="7"/>
    </row>
    <row r="9" spans="1:34" x14ac:dyDescent="0.35">
      <c r="C9" s="57" t="s">
        <v>6</v>
      </c>
      <c r="D9" s="2" t="s">
        <v>7</v>
      </c>
      <c r="G9" s="35" t="s">
        <v>13</v>
      </c>
      <c r="H9" s="25">
        <v>0.02</v>
      </c>
      <c r="I9" s="30">
        <v>0.02</v>
      </c>
      <c r="J9" s="31">
        <v>2.0255733811925442E-2</v>
      </c>
      <c r="K9" s="31">
        <v>2.0514737612978971E-2</v>
      </c>
      <c r="L9" s="31">
        <v>2.0777053215499837E-2</v>
      </c>
      <c r="M9" s="32">
        <v>2.104272296646871E-2</v>
      </c>
      <c r="N9" s="31">
        <v>2.1311789754344012E-2</v>
      </c>
      <c r="O9" s="31">
        <v>2.1584297015985604E-2</v>
      </c>
      <c r="P9" s="31">
        <v>2.1860288743667054E-2</v>
      </c>
      <c r="Q9" s="31">
        <v>2.213980949217749E-2</v>
      </c>
      <c r="R9" s="31">
        <v>2.2422904386014363E-2</v>
      </c>
      <c r="S9" s="31">
        <v>2.2709619126668121E-2</v>
      </c>
      <c r="T9" s="31">
        <v>2.3000000000000007E-2</v>
      </c>
      <c r="U9" s="7"/>
    </row>
    <row r="10" spans="1:34" x14ac:dyDescent="0.35">
      <c r="G10" s="36" t="s">
        <v>11</v>
      </c>
      <c r="H10" s="21"/>
      <c r="I10" s="29">
        <f>I6*I9</f>
        <v>915200</v>
      </c>
      <c r="J10" s="29">
        <f>J9*J6</f>
        <v>940756.41896131448</v>
      </c>
      <c r="K10" s="29">
        <f t="shared" ref="K10:T10" si="5">K9*K6</f>
        <v>967421.22803029779</v>
      </c>
      <c r="L10" s="29">
        <f t="shared" si="5"/>
        <v>980202.21534140932</v>
      </c>
      <c r="M10" s="29">
        <f t="shared" si="5"/>
        <v>993163.41739691829</v>
      </c>
      <c r="N10" s="29">
        <f t="shared" si="5"/>
        <v>1006307.824513802</v>
      </c>
      <c r="O10" s="29">
        <f t="shared" si="5"/>
        <v>1019638.4932739141</v>
      </c>
      <c r="P10" s="29">
        <f t="shared" si="5"/>
        <v>1033158.5485165437</v>
      </c>
      <c r="Q10" s="29">
        <f t="shared" si="5"/>
        <v>1046871.1854032454</v>
      </c>
      <c r="R10" s="29">
        <f t="shared" si="5"/>
        <v>1060779.671557782</v>
      </c>
      <c r="S10" s="29">
        <f t="shared" si="5"/>
        <v>1074887.3492841253</v>
      </c>
      <c r="T10" s="29">
        <f t="shared" si="5"/>
        <v>1089197.6378655848</v>
      </c>
      <c r="U10" s="7"/>
    </row>
    <row r="11" spans="1:34" x14ac:dyDescent="0.35">
      <c r="C11" s="2" t="s">
        <v>21</v>
      </c>
      <c r="D11" s="3" t="s">
        <v>22</v>
      </c>
      <c r="G11" s="34" t="s">
        <v>12</v>
      </c>
      <c r="H11" s="26">
        <v>0.85000000000000009</v>
      </c>
      <c r="I11" s="30">
        <v>0.85791510760728862</v>
      </c>
      <c r="J11" s="30">
        <v>0.86590391983626547</v>
      </c>
      <c r="K11" s="30">
        <v>0.87396712301635593</v>
      </c>
      <c r="L11" s="30">
        <v>0.88210540986801111</v>
      </c>
      <c r="M11" s="30">
        <v>0.89031947956221891</v>
      </c>
      <c r="N11" s="30">
        <v>0.89861003778057202</v>
      </c>
      <c r="O11" s="30">
        <v>0.90697779677589307</v>
      </c>
      <c r="P11" s="30">
        <v>0.9154234754334255</v>
      </c>
      <c r="Q11" s="30">
        <v>0.92394779933259463</v>
      </c>
      <c r="R11" s="30">
        <v>0.93255150080934157</v>
      </c>
      <c r="S11" s="30">
        <v>0.94123531901904089</v>
      </c>
      <c r="T11" s="30">
        <v>0.95000000000000129</v>
      </c>
      <c r="U11" s="28"/>
    </row>
    <row r="12" spans="1:34" x14ac:dyDescent="0.35">
      <c r="D12" s="5" t="s">
        <v>23</v>
      </c>
      <c r="G12" s="36" t="s">
        <v>14</v>
      </c>
      <c r="H12" s="21"/>
      <c r="I12" s="29">
        <f>I11*I10</f>
        <v>785163.90648219059</v>
      </c>
      <c r="J12" s="29">
        <f t="shared" ref="J12:S12" si="6">J11*J10</f>
        <v>814604.67078973027</v>
      </c>
      <c r="K12" s="29">
        <f t="shared" si="6"/>
        <v>845494.34740658943</v>
      </c>
      <c r="L12" s="29">
        <f t="shared" si="6"/>
        <v>864641.67691726633</v>
      </c>
      <c r="M12" s="29">
        <f t="shared" si="6"/>
        <v>884232.73689705913</v>
      </c>
      <c r="N12" s="29">
        <f t="shared" si="6"/>
        <v>904278.3122052328</v>
      </c>
      <c r="O12" s="29">
        <f t="shared" si="6"/>
        <v>924789.47413746582</v>
      </c>
      <c r="P12" s="29">
        <f t="shared" si="6"/>
        <v>945777.58915676782</v>
      </c>
      <c r="Q12" s="29">
        <f t="shared" si="6"/>
        <v>967254.32793803327</v>
      </c>
      <c r="R12" s="29">
        <f t="shared" si="6"/>
        <v>989231.67473924998</v>
      </c>
      <c r="S12" s="29">
        <f t="shared" si="6"/>
        <v>1011721.9371129749</v>
      </c>
      <c r="T12" s="29">
        <f>T11*T10</f>
        <v>1034737.7559723069</v>
      </c>
      <c r="U12" s="7"/>
    </row>
    <row r="13" spans="1:34" x14ac:dyDescent="0.35">
      <c r="D13" t="s">
        <v>24</v>
      </c>
      <c r="G13" s="34" t="s">
        <v>15</v>
      </c>
      <c r="H13" s="26">
        <v>0.7</v>
      </c>
      <c r="I13" s="30">
        <v>0.70000000000000007</v>
      </c>
      <c r="J13" s="30">
        <v>0.71246506674482235</v>
      </c>
      <c r="K13" s="30">
        <v>0.72515210190243451</v>
      </c>
      <c r="L13" s="30">
        <v>0.73806505811723744</v>
      </c>
      <c r="M13" s="30">
        <v>0.75120795841931243</v>
      </c>
      <c r="N13" s="30">
        <v>0.7645848974777959</v>
      </c>
      <c r="O13" s="30">
        <v>0.77820004287657285</v>
      </c>
      <c r="P13" s="30">
        <v>0.79205763641268723</v>
      </c>
      <c r="Q13" s="30">
        <v>0.80616199541787337</v>
      </c>
      <c r="R13" s="30">
        <v>0.82051751410362028</v>
      </c>
      <c r="S13" s="30">
        <v>0.83512866493018789</v>
      </c>
      <c r="T13" s="30">
        <v>0.85000000000000098</v>
      </c>
      <c r="U13" s="7"/>
    </row>
    <row r="14" spans="1:34" x14ac:dyDescent="0.35">
      <c r="D14" s="10">
        <v>143</v>
      </c>
      <c r="G14" s="36" t="s">
        <v>16</v>
      </c>
      <c r="H14" s="21"/>
      <c r="I14" s="29">
        <f>I13*I12</f>
        <v>549614.73453753348</v>
      </c>
      <c r="J14" s="29">
        <f t="shared" ref="J14:T14" si="7">J13*J12</f>
        <v>580377.37114484922</v>
      </c>
      <c r="K14" s="29">
        <f t="shared" si="7"/>
        <v>613112.00316851551</v>
      </c>
      <c r="L14" s="29">
        <f t="shared" si="7"/>
        <v>638161.80952452787</v>
      </c>
      <c r="M14" s="29">
        <f t="shared" si="7"/>
        <v>664242.66905196081</v>
      </c>
      <c r="N14" s="29">
        <f t="shared" si="7"/>
        <v>691397.54062883218</v>
      </c>
      <c r="O14" s="29">
        <f t="shared" si="7"/>
        <v>719671.20842557913</v>
      </c>
      <c r="P14" s="29">
        <f t="shared" si="7"/>
        <v>749110.36183959909</v>
      </c>
      <c r="Q14" s="29">
        <f t="shared" si="7"/>
        <v>779763.67908709892</v>
      </c>
      <c r="R14" s="29">
        <f t="shared" si="7"/>
        <v>811681.91462961049</v>
      </c>
      <c r="S14" s="29">
        <f t="shared" si="7"/>
        <v>844917.99062174233</v>
      </c>
      <c r="T14" s="29">
        <f t="shared" si="7"/>
        <v>879527.09257646196</v>
      </c>
      <c r="U14" s="7"/>
    </row>
    <row r="15" spans="1:34" x14ac:dyDescent="0.35">
      <c r="D15" s="10"/>
      <c r="G15" s="37" t="s">
        <v>33</v>
      </c>
      <c r="H15" s="22">
        <v>0.24</v>
      </c>
      <c r="I15" s="29">
        <f>$H15*I14</f>
        <v>131907.53628900804</v>
      </c>
      <c r="J15" s="29">
        <f t="shared" ref="J15:T15" si="8">$H15*J14</f>
        <v>139290.5690747638</v>
      </c>
      <c r="K15" s="29">
        <f t="shared" si="8"/>
        <v>147146.88076044372</v>
      </c>
      <c r="L15" s="29">
        <f t="shared" si="8"/>
        <v>153158.8342858867</v>
      </c>
      <c r="M15" s="29">
        <f t="shared" si="8"/>
        <v>159418.24057247059</v>
      </c>
      <c r="N15" s="29">
        <f t="shared" si="8"/>
        <v>165935.40975091973</v>
      </c>
      <c r="O15" s="29">
        <f t="shared" si="8"/>
        <v>172721.09002213899</v>
      </c>
      <c r="P15" s="29">
        <f t="shared" si="8"/>
        <v>179786.48684150376</v>
      </c>
      <c r="Q15" s="29">
        <f t="shared" si="8"/>
        <v>187143.28298090372</v>
      </c>
      <c r="R15" s="29">
        <f t="shared" si="8"/>
        <v>194803.6595111065</v>
      </c>
      <c r="S15" s="29">
        <f t="shared" si="8"/>
        <v>202780.31774921814</v>
      </c>
      <c r="T15" s="29">
        <f t="shared" si="8"/>
        <v>211086.50221835086</v>
      </c>
      <c r="U15" s="7"/>
    </row>
    <row r="16" spans="1:34" x14ac:dyDescent="0.35">
      <c r="D16" s="10"/>
      <c r="G16" s="37" t="s">
        <v>34</v>
      </c>
      <c r="H16" s="22">
        <v>0.16200000000000001</v>
      </c>
      <c r="I16" s="29">
        <f>$H16*I14</f>
        <v>89037.586995080434</v>
      </c>
      <c r="J16" s="29">
        <f t="shared" ref="J16:T16" si="9">$H16*J14</f>
        <v>94021.134125465571</v>
      </c>
      <c r="K16" s="29">
        <f>$H16*K14</f>
        <v>99324.144513299514</v>
      </c>
      <c r="L16" s="29">
        <f t="shared" si="9"/>
        <v>103382.21314297352</v>
      </c>
      <c r="M16" s="29">
        <f t="shared" si="9"/>
        <v>107607.31238641766</v>
      </c>
      <c r="N16" s="29">
        <f t="shared" si="9"/>
        <v>112006.40158187081</v>
      </c>
      <c r="O16" s="29">
        <f t="shared" si="9"/>
        <v>116586.73576494382</v>
      </c>
      <c r="P16" s="29">
        <f t="shared" si="9"/>
        <v>121355.87861801506</v>
      </c>
      <c r="Q16" s="29">
        <f t="shared" si="9"/>
        <v>126321.71601211003</v>
      </c>
      <c r="R16" s="29">
        <f t="shared" si="9"/>
        <v>131492.4701699969</v>
      </c>
      <c r="S16" s="29">
        <f t="shared" si="9"/>
        <v>136876.71448072226</v>
      </c>
      <c r="T16" s="29">
        <f t="shared" si="9"/>
        <v>142483.38899738685</v>
      </c>
      <c r="U16" s="7"/>
    </row>
    <row r="17" spans="3:21" x14ac:dyDescent="0.35">
      <c r="D17" s="10"/>
      <c r="G17" s="37" t="s">
        <v>32</v>
      </c>
      <c r="H17" s="22">
        <v>0.39</v>
      </c>
      <c r="I17" s="29">
        <f>$H17*I14</f>
        <v>214349.74646963808</v>
      </c>
      <c r="J17" s="29">
        <f t="shared" ref="J17:T17" si="10">$H17*J14</f>
        <v>226347.17474649122</v>
      </c>
      <c r="K17" s="29">
        <f t="shared" si="10"/>
        <v>239113.68123572104</v>
      </c>
      <c r="L17" s="29">
        <f t="shared" si="10"/>
        <v>248883.10571456587</v>
      </c>
      <c r="M17" s="29">
        <f t="shared" si="10"/>
        <v>259054.64093026472</v>
      </c>
      <c r="N17" s="29">
        <f t="shared" si="10"/>
        <v>269645.04084524454</v>
      </c>
      <c r="O17" s="29">
        <f t="shared" si="10"/>
        <v>280671.77128597588</v>
      </c>
      <c r="P17" s="29">
        <f t="shared" si="10"/>
        <v>292153.04111744364</v>
      </c>
      <c r="Q17" s="29">
        <f t="shared" si="10"/>
        <v>304107.83484396857</v>
      </c>
      <c r="R17" s="29">
        <f t="shared" si="10"/>
        <v>316555.94670554809</v>
      </c>
      <c r="S17" s="29">
        <f t="shared" si="10"/>
        <v>329518.0163424795</v>
      </c>
      <c r="T17" s="29">
        <f t="shared" si="10"/>
        <v>343015.56610482017</v>
      </c>
      <c r="U17" s="7"/>
    </row>
    <row r="18" spans="3:21" x14ac:dyDescent="0.35">
      <c r="D18" s="10"/>
      <c r="G18" s="37" t="s">
        <v>31</v>
      </c>
      <c r="H18" s="22">
        <f>1-SUM(H15:H17)</f>
        <v>0.20799999999999996</v>
      </c>
      <c r="I18" s="29">
        <f>$H18*I14</f>
        <v>114319.86478380694</v>
      </c>
      <c r="J18" s="29">
        <f t="shared" ref="J18:T18" si="11">$H18*J14</f>
        <v>120718.49319812862</v>
      </c>
      <c r="K18" s="29">
        <f t="shared" si="11"/>
        <v>127527.29665905121</v>
      </c>
      <c r="L18" s="29">
        <f t="shared" si="11"/>
        <v>132737.65638110178</v>
      </c>
      <c r="M18" s="29">
        <f t="shared" si="11"/>
        <v>138162.47516280782</v>
      </c>
      <c r="N18" s="29">
        <f t="shared" si="11"/>
        <v>143810.68845079708</v>
      </c>
      <c r="O18" s="29">
        <f t="shared" si="11"/>
        <v>149691.61135252044</v>
      </c>
      <c r="P18" s="29">
        <f t="shared" si="11"/>
        <v>155814.95526263659</v>
      </c>
      <c r="Q18" s="29">
        <f t="shared" si="11"/>
        <v>162190.84525011654</v>
      </c>
      <c r="R18" s="29">
        <f t="shared" si="11"/>
        <v>168829.83824295894</v>
      </c>
      <c r="S18" s="29">
        <f t="shared" si="11"/>
        <v>175742.94204932236</v>
      </c>
      <c r="T18" s="29">
        <f t="shared" si="11"/>
        <v>182941.63525590405</v>
      </c>
      <c r="U18" s="7"/>
    </row>
    <row r="19" spans="3:21" x14ac:dyDescent="0.35">
      <c r="C19">
        <v>2023</v>
      </c>
      <c r="D19" s="11">
        <f>D14*10^6</f>
        <v>143000000</v>
      </c>
      <c r="E19">
        <f>D19*F22</f>
        <v>15158000</v>
      </c>
      <c r="G19" s="36" t="s">
        <v>20</v>
      </c>
      <c r="H19" s="21"/>
      <c r="I19" s="29">
        <f>(I15*30%)+(I16*45%)+(I17*60%)+(I18*92%)</f>
        <v>313423.29851737386</v>
      </c>
      <c r="J19" s="29">
        <f>(J15*30%)+(J16*45%)+(J17*60%)+(J18*92%)</f>
        <v>330965.99966906174</v>
      </c>
      <c r="K19" s="29">
        <f t="shared" ref="K19:T19" si="12">(K15*30%)+(K16*45%)+(K17*60%)+(K18*92%)</f>
        <v>349633.2509268776</v>
      </c>
      <c r="L19" s="29">
        <f t="shared" si="12"/>
        <v>363918.15349945723</v>
      </c>
      <c r="M19" s="29">
        <f t="shared" si="12"/>
        <v>378791.02445357118</v>
      </c>
      <c r="N19" s="29">
        <f t="shared" si="12"/>
        <v>394276.36151899782</v>
      </c>
      <c r="O19" s="29">
        <f t="shared" si="12"/>
        <v>410399.70331677073</v>
      </c>
      <c r="P19" s="29">
        <f t="shared" si="12"/>
        <v>427187.67494264978</v>
      </c>
      <c r="Q19" s="29">
        <f t="shared" si="12"/>
        <v>444668.03563620901</v>
      </c>
      <c r="R19" s="29">
        <f t="shared" si="12"/>
        <v>462869.72863668163</v>
      </c>
      <c r="S19" s="29">
        <f t="shared" si="12"/>
        <v>481822.9333319547</v>
      </c>
      <c r="T19" s="29">
        <f t="shared" si="12"/>
        <v>501559.11981265317</v>
      </c>
      <c r="U19" s="7"/>
    </row>
    <row r="20" spans="3:21" x14ac:dyDescent="0.35">
      <c r="C20" t="s">
        <v>25</v>
      </c>
      <c r="D20" t="s">
        <v>26</v>
      </c>
      <c r="E20" s="3">
        <v>460</v>
      </c>
      <c r="F20" s="14">
        <v>0.32</v>
      </c>
      <c r="G20" s="36" t="s">
        <v>35</v>
      </c>
      <c r="H20" s="20">
        <v>0.85</v>
      </c>
      <c r="I20" s="33">
        <v>0.85</v>
      </c>
      <c r="J20" s="33">
        <v>0.85613720657623815</v>
      </c>
      <c r="K20" s="33">
        <v>0.86231872527548725</v>
      </c>
      <c r="L20" s="33">
        <v>0.868544876042045</v>
      </c>
      <c r="M20" s="33">
        <v>0.87481598113028392</v>
      </c>
      <c r="N20" s="33">
        <v>0.8811323651213322</v>
      </c>
      <c r="O20" s="33">
        <v>0.88749435493987194</v>
      </c>
      <c r="P20" s="33">
        <v>0.89390227987106163</v>
      </c>
      <c r="Q20" s="33">
        <v>0.90035647157757792</v>
      </c>
      <c r="R20" s="33">
        <v>0.90685726411678313</v>
      </c>
      <c r="S20" s="33">
        <v>0.91340499395801467</v>
      </c>
      <c r="T20" s="33">
        <v>0.92000000000000048</v>
      </c>
      <c r="U20" s="7"/>
    </row>
    <row r="21" spans="3:21" x14ac:dyDescent="0.35">
      <c r="D21" t="s">
        <v>27</v>
      </c>
      <c r="E21" s="3">
        <v>450</v>
      </c>
      <c r="F21" s="12">
        <v>0.31290000000000001</v>
      </c>
      <c r="G21" s="36" t="s">
        <v>19</v>
      </c>
      <c r="H21" s="23"/>
      <c r="I21" s="29">
        <f>I20*I19</f>
        <v>266409.80373976775</v>
      </c>
      <c r="J21" s="29">
        <f t="shared" ref="J21:T21" si="13">J20*J19</f>
        <v>283352.3064283827</v>
      </c>
      <c r="K21" s="29">
        <f t="shared" si="13"/>
        <v>301495.29925318965</v>
      </c>
      <c r="L21" s="29">
        <f t="shared" si="13"/>
        <v>316079.24752063601</v>
      </c>
      <c r="M21" s="29">
        <f t="shared" si="13"/>
        <v>331372.44170069625</v>
      </c>
      <c r="N21" s="29">
        <f t="shared" si="13"/>
        <v>347409.66293666797</v>
      </c>
      <c r="O21" s="29">
        <f t="shared" si="13"/>
        <v>364227.41996263224</v>
      </c>
      <c r="P21" s="29">
        <f t="shared" si="13"/>
        <v>381864.03656405263</v>
      </c>
      <c r="Q21" s="29">
        <f t="shared" si="13"/>
        <v>400359.74358874984</v>
      </c>
      <c r="R21" s="29">
        <f t="shared" si="13"/>
        <v>419756.77575393894</v>
      </c>
      <c r="S21" s="29">
        <f t="shared" si="13"/>
        <v>440099.47350890696</v>
      </c>
      <c r="T21" s="29">
        <f t="shared" si="13"/>
        <v>461434.39022764115</v>
      </c>
      <c r="U21" s="7"/>
    </row>
    <row r="22" spans="3:21" x14ac:dyDescent="0.35">
      <c r="D22" t="s">
        <v>28</v>
      </c>
      <c r="E22" s="3">
        <v>153</v>
      </c>
      <c r="F22" s="12">
        <v>0.106</v>
      </c>
      <c r="G22" s="34" t="s">
        <v>17</v>
      </c>
      <c r="H22" s="27"/>
      <c r="I22" s="32">
        <v>0.89900000000000002</v>
      </c>
      <c r="J22" s="32">
        <v>0.89909086315866515</v>
      </c>
      <c r="K22" s="32">
        <v>0.8991817355009939</v>
      </c>
      <c r="L22" s="32">
        <v>0.8992726170279145</v>
      </c>
      <c r="M22" s="32">
        <v>0.89936350774035512</v>
      </c>
      <c r="N22" s="32">
        <v>0.89945440763924445</v>
      </c>
      <c r="O22" s="32">
        <v>0.89954531672551075</v>
      </c>
      <c r="P22" s="32">
        <v>0.89963623500008261</v>
      </c>
      <c r="Q22" s="32">
        <v>0.89972716246388862</v>
      </c>
      <c r="R22" s="32">
        <v>0.89981809911785782</v>
      </c>
      <c r="S22" s="32">
        <v>0.8999090449629189</v>
      </c>
      <c r="T22" s="32">
        <v>0.9000000000000008</v>
      </c>
      <c r="U22" s="7"/>
    </row>
    <row r="23" spans="3:21" ht="15" thickBot="1" x14ac:dyDescent="0.4">
      <c r="G23" s="36" t="s">
        <v>18</v>
      </c>
      <c r="H23" s="23"/>
      <c r="I23" s="29">
        <f>I22*I21</f>
        <v>239502.41356205122</v>
      </c>
      <c r="J23" s="29">
        <f t="shared" ref="J23:T23" si="14">J22*J21</f>
        <v>254759.46976469317</v>
      </c>
      <c r="K23" s="29">
        <f t="shared" si="14"/>
        <v>271099.06642787455</v>
      </c>
      <c r="L23" s="29">
        <f t="shared" si="14"/>
        <v>284241.41210609628</v>
      </c>
      <c r="M23" s="29">
        <f t="shared" si="14"/>
        <v>298024.28153642453</v>
      </c>
      <c r="N23" s="29">
        <f t="shared" si="14"/>
        <v>312479.15258485026</v>
      </c>
      <c r="O23" s="29">
        <f t="shared" si="14"/>
        <v>327639.0698504016</v>
      </c>
      <c r="P23" s="29">
        <f t="shared" si="14"/>
        <v>343538.7241364182</v>
      </c>
      <c r="Q23" s="29">
        <f t="shared" si="14"/>
        <v>360214.53606387594</v>
      </c>
      <c r="R23" s="29">
        <f t="shared" si="14"/>
        <v>377704.74405075028</v>
      </c>
      <c r="S23" s="29">
        <f t="shared" si="14"/>
        <v>396049.49689408392</v>
      </c>
      <c r="T23" s="29">
        <f t="shared" si="14"/>
        <v>415290.9512048774</v>
      </c>
      <c r="U23" s="8"/>
    </row>
    <row r="24" spans="3:21" x14ac:dyDescent="0.35">
      <c r="E24" s="39"/>
    </row>
    <row r="25" spans="3:21" x14ac:dyDescent="0.35">
      <c r="D25" s="15"/>
      <c r="G25" s="41" t="s">
        <v>36</v>
      </c>
    </row>
    <row r="26" spans="3:21" x14ac:dyDescent="0.35">
      <c r="G26" s="3" t="s">
        <v>37</v>
      </c>
    </row>
    <row r="27" spans="3:21" x14ac:dyDescent="0.35">
      <c r="G27" t="s">
        <v>38</v>
      </c>
      <c r="H27" s="16"/>
      <c r="I27" s="16">
        <v>0.02</v>
      </c>
      <c r="J27" s="16">
        <v>2.1189261887185906E-2</v>
      </c>
      <c r="K27" s="16">
        <v>2.2449240966187462E-2</v>
      </c>
      <c r="L27" s="16">
        <v>2.378414230005442E-2</v>
      </c>
      <c r="M27" s="16">
        <v>2.5198420997897462E-2</v>
      </c>
      <c r="N27" s="16">
        <v>2.669679708340069E-2</v>
      </c>
      <c r="O27" s="16">
        <v>2.8284271247461905E-2</v>
      </c>
      <c r="P27" s="16">
        <v>2.996614153753363E-2</v>
      </c>
      <c r="Q27" s="16">
        <v>3.1748021039363993E-2</v>
      </c>
      <c r="R27" s="16">
        <v>3.3635856610148583E-2</v>
      </c>
      <c r="S27" s="16">
        <v>3.5635948725613584E-2</v>
      </c>
      <c r="T27" s="16">
        <v>3.7754972507267739E-2</v>
      </c>
      <c r="U27" s="16"/>
    </row>
    <row r="28" spans="3:21" x14ac:dyDescent="0.35">
      <c r="G28" t="s">
        <v>39</v>
      </c>
      <c r="H28" s="16"/>
      <c r="I28" s="16">
        <v>0.10000000000000003</v>
      </c>
      <c r="J28" s="16">
        <v>0.10117149169198536</v>
      </c>
      <c r="K28" s="16">
        <v>0.10235670731181457</v>
      </c>
      <c r="L28" s="16">
        <v>0.10355580763416221</v>
      </c>
      <c r="M28" s="16">
        <v>0.10476895531716472</v>
      </c>
      <c r="N28" s="16">
        <v>0.10599631492448512</v>
      </c>
      <c r="O28" s="16">
        <v>0.10723805294763604</v>
      </c>
      <c r="P28" s="16">
        <v>0.10849433782856441</v>
      </c>
      <c r="Q28" s="16">
        <v>0.10976533998250054</v>
      </c>
      <c r="R28" s="16">
        <v>0.11105123182107496</v>
      </c>
      <c r="S28" s="16">
        <v>0.1123521877757062</v>
      </c>
      <c r="T28" s="16">
        <v>0.11366838432126235</v>
      </c>
      <c r="U28" s="16"/>
    </row>
    <row r="29" spans="3:21" x14ac:dyDescent="0.35">
      <c r="G29" t="s">
        <v>40</v>
      </c>
      <c r="H29" s="16"/>
      <c r="I29" s="16">
        <v>3.0000000000000009E-2</v>
      </c>
      <c r="J29" s="16">
        <v>3.0727895422229687E-2</v>
      </c>
      <c r="K29" s="16">
        <v>3.1473451902649462E-2</v>
      </c>
      <c r="L29" s="16">
        <v>3.2237097954706279E-2</v>
      </c>
      <c r="M29" s="16">
        <v>3.3019272488946295E-2</v>
      </c>
      <c r="N29" s="16">
        <v>3.3820425065281573E-2</v>
      </c>
      <c r="O29" s="16">
        <v>3.4641016151377581E-2</v>
      </c>
      <c r="P29" s="16">
        <v>3.548151738730998E-2</v>
      </c>
      <c r="Q29" s="16">
        <v>3.6342411856642838E-2</v>
      </c>
      <c r="R29" s="16">
        <v>3.7224194364084029E-2</v>
      </c>
      <c r="S29" s="16">
        <v>3.8127371719877519E-2</v>
      </c>
      <c r="T29" s="16">
        <v>3.9052463031095788E-2</v>
      </c>
      <c r="U29" s="16"/>
    </row>
    <row r="30" spans="3:21" x14ac:dyDescent="0.35">
      <c r="G30" t="s">
        <v>48</v>
      </c>
      <c r="H30" s="17"/>
      <c r="I30" s="17">
        <v>3.4999999999999989E-2</v>
      </c>
      <c r="J30" s="17">
        <v>3.574072984618424E-2</v>
      </c>
      <c r="K30" s="17">
        <v>3.6497136283940718E-2</v>
      </c>
      <c r="L30" s="17">
        <v>3.7269551088105549E-2</v>
      </c>
      <c r="M30" s="17">
        <v>3.8058313055101219E-2</v>
      </c>
      <c r="N30" s="17">
        <v>3.886376815153942E-2</v>
      </c>
      <c r="O30" s="17">
        <v>3.9686269665968846E-2</v>
      </c>
      <c r="P30" s="17">
        <v>4.0526178363834563E-2</v>
      </c>
      <c r="Q30" s="17">
        <v>4.13838626457168E-2</v>
      </c>
      <c r="R30" s="17">
        <v>4.2259698708918859E-2</v>
      </c>
      <c r="S30" s="17">
        <v>4.3154070712474575E-2</v>
      </c>
      <c r="T30" s="17">
        <v>4.4067370945648159E-2</v>
      </c>
      <c r="U30" s="17"/>
    </row>
    <row r="31" spans="3:21" x14ac:dyDescent="0.35">
      <c r="G31" s="3" t="s">
        <v>41</v>
      </c>
    </row>
    <row r="32" spans="3:21" x14ac:dyDescent="0.35">
      <c r="G32" t="s">
        <v>42</v>
      </c>
      <c r="H32" s="16"/>
      <c r="I32" s="16">
        <v>3.0000000000000009E-2</v>
      </c>
      <c r="J32" s="16">
        <v>3.0727895422229687E-2</v>
      </c>
      <c r="K32" s="16">
        <v>3.1473451902649462E-2</v>
      </c>
      <c r="L32" s="16">
        <v>3.2237097954706279E-2</v>
      </c>
      <c r="M32" s="16">
        <v>3.3019272488946295E-2</v>
      </c>
      <c r="N32" s="16">
        <v>3.3820425065281573E-2</v>
      </c>
      <c r="O32" s="16">
        <v>3.4641016151377581E-2</v>
      </c>
      <c r="P32" s="16">
        <v>3.548151738730998E-2</v>
      </c>
      <c r="Q32" s="16">
        <v>3.6342411856642838E-2</v>
      </c>
      <c r="R32" s="16">
        <v>3.7224194364084029E-2</v>
      </c>
      <c r="S32" s="16">
        <v>3.8127371719877519E-2</v>
      </c>
      <c r="T32" s="16">
        <v>3.9052463031095788E-2</v>
      </c>
      <c r="U32" s="16"/>
    </row>
    <row r="33" spans="7:21" x14ac:dyDescent="0.35">
      <c r="G33" t="s">
        <v>43</v>
      </c>
      <c r="H33" s="17"/>
      <c r="I33" s="17">
        <v>5.5999999999999987E-2</v>
      </c>
      <c r="J33" s="17">
        <v>5.6322894068690676E-2</v>
      </c>
      <c r="K33" s="17">
        <v>5.6647649933445565E-2</v>
      </c>
      <c r="L33" s="17">
        <v>5.6974278329316577E-2</v>
      </c>
      <c r="M33" s="17">
        <v>5.7302790053253519E-2</v>
      </c>
      <c r="N33" s="17">
        <v>5.7633195964461079E-2</v>
      </c>
      <c r="O33" s="17">
        <v>5.796550698475772E-2</v>
      </c>
      <c r="P33" s="17">
        <v>5.8299734098936781E-2</v>
      </c>
      <c r="Q33" s="17">
        <v>5.8635888355129472E-2</v>
      </c>
      <c r="R33" s="17">
        <v>5.8973980865170202E-2</v>
      </c>
      <c r="S33" s="17">
        <v>5.9314022804963791E-2</v>
      </c>
      <c r="T33" s="17">
        <v>5.9656025414854992E-2</v>
      </c>
      <c r="U33" s="17"/>
    </row>
    <row r="34" spans="7:21" x14ac:dyDescent="0.35">
      <c r="G34" t="s">
        <v>44</v>
      </c>
      <c r="H34" s="16"/>
      <c r="I34" s="16">
        <v>6.0000000000000012E-2</v>
      </c>
      <c r="J34" s="16">
        <v>6.0775725171961767E-2</v>
      </c>
      <c r="K34" s="16">
        <v>6.1561479502963784E-2</v>
      </c>
      <c r="L34" s="16">
        <v>6.2357392657524734E-2</v>
      </c>
      <c r="M34" s="16">
        <v>6.3163595976563819E-2</v>
      </c>
      <c r="N34" s="16">
        <v>6.3980222499074535E-2</v>
      </c>
      <c r="O34" s="16">
        <v>6.480740698407865E-2</v>
      </c>
      <c r="P34" s="16">
        <v>6.5645285932863978E-2</v>
      </c>
      <c r="Q34" s="16">
        <v>6.6493997611509814E-2</v>
      </c>
      <c r="R34" s="16">
        <v>6.7353682073703375E-2</v>
      </c>
      <c r="S34" s="16">
        <v>6.8224481183851396E-2</v>
      </c>
      <c r="T34" s="16">
        <v>6.9106538640490475E-2</v>
      </c>
      <c r="U34" s="16"/>
    </row>
    <row r="35" spans="7:21" x14ac:dyDescent="0.35">
      <c r="G35" t="s">
        <v>48</v>
      </c>
      <c r="H35" s="17"/>
      <c r="I35" s="17">
        <v>6.5000000000000002E-2</v>
      </c>
      <c r="J35" s="17">
        <v>6.6134500207512326E-2</v>
      </c>
      <c r="K35" s="17">
        <v>6.7288801810729978E-2</v>
      </c>
      <c r="L35" s="17">
        <v>6.8463250420230423E-2</v>
      </c>
      <c r="M35" s="17">
        <v>6.9658197678826125E-2</v>
      </c>
      <c r="N35" s="17">
        <v>7.0874001366850167E-2</v>
      </c>
      <c r="O35" s="17">
        <v>7.2111025509279725E-2</v>
      </c>
      <c r="P35" s="17">
        <v>7.3369640484729021E-2</v>
      </c>
      <c r="Q35" s="17">
        <v>7.4650223136344868E-2</v>
      </c>
      <c r="R35" s="17">
        <v>7.5953156884637565E-2</v>
      </c>
      <c r="S35" s="17">
        <v>7.7278831842281223E-2</v>
      </c>
      <c r="T35" s="17">
        <v>7.8627644930917812E-2</v>
      </c>
      <c r="U35" s="17"/>
    </row>
    <row r="36" spans="7:21" x14ac:dyDescent="0.35">
      <c r="G36" s="3" t="s">
        <v>45</v>
      </c>
    </row>
    <row r="37" spans="7:21" x14ac:dyDescent="0.35">
      <c r="G37" t="s">
        <v>46</v>
      </c>
      <c r="H37" s="16"/>
      <c r="I37" s="16">
        <v>6.0000000000000012E-2</v>
      </c>
      <c r="J37" s="16">
        <v>6.0775725171961767E-2</v>
      </c>
      <c r="K37" s="16">
        <v>6.1561479502963784E-2</v>
      </c>
      <c r="L37" s="16">
        <v>6.2357392657524734E-2</v>
      </c>
      <c r="M37" s="16">
        <v>6.3163595976563819E-2</v>
      </c>
      <c r="N37" s="16">
        <v>6.3980222499074535E-2</v>
      </c>
      <c r="O37" s="16">
        <v>6.480740698407865E-2</v>
      </c>
      <c r="P37" s="16">
        <v>6.5645285932863978E-2</v>
      </c>
      <c r="Q37" s="16">
        <v>6.6493997611509814E-2</v>
      </c>
      <c r="R37" s="16">
        <v>6.7353682073703375E-2</v>
      </c>
      <c r="S37" s="16">
        <v>6.8224481183851396E-2</v>
      </c>
      <c r="T37" s="16">
        <v>6.9106538640490475E-2</v>
      </c>
      <c r="U37" s="16"/>
    </row>
    <row r="38" spans="7:21" x14ac:dyDescent="0.35">
      <c r="G38" t="s">
        <v>47</v>
      </c>
      <c r="H38" s="17"/>
      <c r="I38" s="17">
        <v>7.4999999999999997E-2</v>
      </c>
      <c r="J38" s="17">
        <v>7.6148210287479839E-2</v>
      </c>
      <c r="K38" s="17">
        <v>7.7313999066483327E-2</v>
      </c>
      <c r="L38" s="17">
        <v>7.849763545440791E-2</v>
      </c>
      <c r="M38" s="17">
        <v>7.969939268869583E-2</v>
      </c>
      <c r="N38" s="17">
        <v>8.0919548189909915E-2</v>
      </c>
      <c r="O38" s="17">
        <v>8.2158383625774892E-2</v>
      </c>
      <c r="P38" s="17">
        <v>8.3416184976199292E-2</v>
      </c>
      <c r="Q38" s="17">
        <v>8.4693242599292548E-2</v>
      </c>
      <c r="R38" s="17">
        <v>8.5989851298392983E-2</v>
      </c>
      <c r="S38" s="17">
        <v>8.7306310390122002E-2</v>
      </c>
      <c r="T38" s="17">
        <v>8.8642923773479945E-2</v>
      </c>
      <c r="U38" s="17"/>
    </row>
    <row r="39" spans="7:21" x14ac:dyDescent="0.35">
      <c r="G39" t="s">
        <v>48</v>
      </c>
      <c r="H39" s="16"/>
      <c r="I39" s="16">
        <v>8.0000000000000016E-2</v>
      </c>
      <c r="J39" s="16">
        <v>8.1501541209720516E-2</v>
      </c>
      <c r="K39" s="16">
        <v>8.3031265244497124E-2</v>
      </c>
      <c r="L39" s="16">
        <v>8.4589701075245174E-2</v>
      </c>
      <c r="M39" s="16">
        <v>8.6177387601275413E-2</v>
      </c>
      <c r="N39" s="16">
        <v>8.7794873836642542E-2</v>
      </c>
      <c r="O39" s="16">
        <v>8.9442719099991672E-2</v>
      </c>
      <c r="P39" s="16">
        <v>9.1121493207967807E-2</v>
      </c>
      <c r="Q39" s="16">
        <v>9.2831776672255673E-2</v>
      </c>
      <c r="R39" s="16">
        <v>9.4574160900317686E-2</v>
      </c>
      <c r="S39" s="16">
        <v>9.6349248399899751E-2</v>
      </c>
      <c r="T39" s="16">
        <v>9.8157652987375305E-2</v>
      </c>
      <c r="U39" s="16"/>
    </row>
    <row r="41" spans="7:21" x14ac:dyDescent="0.35">
      <c r="G41" s="3" t="s">
        <v>49</v>
      </c>
    </row>
    <row r="42" spans="7:21" x14ac:dyDescent="0.35">
      <c r="G42" s="3" t="s">
        <v>50</v>
      </c>
      <c r="I42" s="14"/>
      <c r="N42" s="16">
        <v>2.4007124742102901E-2</v>
      </c>
      <c r="O42" s="16">
        <v>2.8332389384794768E-2</v>
      </c>
      <c r="P42" s="16">
        <v>3.3436919117758354E-2</v>
      </c>
      <c r="Q42" s="16">
        <v>3.9461110918076303E-2</v>
      </c>
      <c r="R42" s="16">
        <v>4.6570656507097359E-2</v>
      </c>
      <c r="S42" s="16">
        <v>5.4961099600177636E-2</v>
      </c>
      <c r="T42" s="16">
        <v>6.486321421731063E-2</v>
      </c>
      <c r="U42" s="16"/>
    </row>
    <row r="43" spans="7:21" x14ac:dyDescent="0.35">
      <c r="G43" t="s">
        <v>51</v>
      </c>
      <c r="I43" s="14"/>
      <c r="N43" s="17">
        <v>1.4161312669423531E-2</v>
      </c>
      <c r="O43" s="17">
        <v>1.5000000000000005E-2</v>
      </c>
      <c r="P43" s="17">
        <v>1.588835761573219E-2</v>
      </c>
      <c r="Q43" s="17">
        <v>1.6829327181693002E-2</v>
      </c>
      <c r="R43" s="17">
        <v>1.7826024579660048E-2</v>
      </c>
      <c r="S43" s="17">
        <v>1.8881750225898056E-2</v>
      </c>
      <c r="T43" s="17">
        <v>2.0000000000000018E-2</v>
      </c>
      <c r="U43" s="16"/>
    </row>
    <row r="44" spans="7:21" x14ac:dyDescent="0.35">
      <c r="G44" t="s">
        <v>52</v>
      </c>
      <c r="I44" s="14"/>
      <c r="N44" s="16">
        <v>2.0000000000000007E-2</v>
      </c>
      <c r="O44" s="16">
        <v>2.139826387867327E-2</v>
      </c>
      <c r="P44" s="16">
        <v>2.2894284851066652E-2</v>
      </c>
      <c r="Q44" s="16">
        <v>2.4494897427831799E-2</v>
      </c>
      <c r="R44" s="16">
        <v>2.6207413942088986E-2</v>
      </c>
      <c r="S44" s="16">
        <v>2.8039657955522039E-2</v>
      </c>
      <c r="T44" s="16">
        <v>3.0000000000000034E-2</v>
      </c>
      <c r="U44" s="16"/>
    </row>
    <row r="45" spans="7:21" x14ac:dyDescent="0.35">
      <c r="G45" t="s">
        <v>53</v>
      </c>
      <c r="I45" s="12"/>
      <c r="N45" s="16">
        <v>2.5000000000000008E-2</v>
      </c>
      <c r="O45" s="16">
        <v>2.806155120773433E-2</v>
      </c>
      <c r="P45" s="16">
        <v>3.1498026247371837E-2</v>
      </c>
      <c r="Q45" s="16">
        <v>3.535533905932739E-2</v>
      </c>
      <c r="R45" s="16">
        <v>3.9685026299204999E-2</v>
      </c>
      <c r="S45" s="16">
        <v>4.4544935907016976E-2</v>
      </c>
      <c r="T45" s="16">
        <v>5.0000000000000024E-2</v>
      </c>
      <c r="U45" s="16"/>
    </row>
    <row r="46" spans="7:21" x14ac:dyDescent="0.35">
      <c r="G46" s="3" t="s">
        <v>48</v>
      </c>
      <c r="I46" s="16">
        <f>1-SUM(I27:I45)</f>
        <v>0.38900000000000001</v>
      </c>
      <c r="J46" s="16">
        <f t="shared" ref="J46:T46" si="15">1-SUM(J27:J45)</f>
        <v>0.37878412961285823</v>
      </c>
      <c r="K46" s="16">
        <f t="shared" si="15"/>
        <v>0.36834533657167479</v>
      </c>
      <c r="L46" s="16">
        <f t="shared" si="15"/>
        <v>0.3576766524740157</v>
      </c>
      <c r="M46" s="16">
        <f t="shared" si="15"/>
        <v>0.34677080567676555</v>
      </c>
      <c r="N46" s="16">
        <f t="shared" si="15"/>
        <v>0.25245176794247237</v>
      </c>
      <c r="O46" s="16">
        <f t="shared" si="15"/>
        <v>0.23142472017701432</v>
      </c>
      <c r="P46" s="16">
        <f t="shared" si="15"/>
        <v>0.20883509502995745</v>
      </c>
      <c r="Q46" s="16">
        <f t="shared" si="15"/>
        <v>0.18447815204616214</v>
      </c>
      <c r="R46" s="16">
        <f t="shared" si="15"/>
        <v>0.15811718870771285</v>
      </c>
      <c r="S46" s="16">
        <f t="shared" si="15"/>
        <v>0.12947822985286628</v>
      </c>
      <c r="T46" s="16">
        <f t="shared" si="15"/>
        <v>9.8243807558710428E-2</v>
      </c>
      <c r="U46" s="16"/>
    </row>
    <row r="48" spans="7:21" ht="15" thickBot="1" x14ac:dyDescent="0.4"/>
    <row r="49" spans="4:20" x14ac:dyDescent="0.35">
      <c r="G49" s="46" t="s">
        <v>36</v>
      </c>
      <c r="H49" s="47"/>
      <c r="I49" s="47"/>
      <c r="J49" s="47"/>
      <c r="K49" s="47"/>
      <c r="L49" s="47"/>
      <c r="M49" s="47"/>
      <c r="N49" s="47"/>
      <c r="O49" s="47"/>
      <c r="P49" s="47"/>
      <c r="Q49" s="47"/>
      <c r="R49" s="47"/>
      <c r="S49" s="47"/>
      <c r="T49" s="48"/>
    </row>
    <row r="50" spans="4:20" x14ac:dyDescent="0.35">
      <c r="G50" s="49" t="s">
        <v>37</v>
      </c>
      <c r="T50" s="50"/>
    </row>
    <row r="51" spans="4:20" x14ac:dyDescent="0.35">
      <c r="G51" s="51" t="s">
        <v>38</v>
      </c>
      <c r="I51" s="44">
        <f>I27*I$23</f>
        <v>4790.0482712410248</v>
      </c>
      <c r="J51" s="44">
        <f>J27*J$23</f>
        <v>5398.1651230847028</v>
      </c>
      <c r="K51" s="44">
        <f t="shared" ref="K51:T51" si="16">K27*K$23</f>
        <v>6085.9682679478174</v>
      </c>
      <c r="L51" s="44">
        <f>L27*L$23</f>
        <v>6760.4381930998052</v>
      </c>
      <c r="M51" s="44">
        <f t="shared" si="16"/>
        <v>7509.7413137507447</v>
      </c>
      <c r="N51" s="44">
        <f t="shared" si="16"/>
        <v>8342.1925293507502</v>
      </c>
      <c r="O51" s="44">
        <f t="shared" si="16"/>
        <v>9267.0323229148762</v>
      </c>
      <c r="P51" s="44">
        <f t="shared" si="16"/>
        <v>10294.530031095628</v>
      </c>
      <c r="Q51" s="44">
        <f t="shared" si="16"/>
        <v>11436.098669640673</v>
      </c>
      <c r="R51" s="44">
        <f t="shared" si="16"/>
        <v>12704.422611863907</v>
      </c>
      <c r="S51" s="44">
        <f t="shared" si="16"/>
        <v>14113.599564122631</v>
      </c>
      <c r="T51" s="52">
        <f t="shared" si="16"/>
        <v>15679.298445257215</v>
      </c>
    </row>
    <row r="52" spans="4:20" x14ac:dyDescent="0.35">
      <c r="G52" s="51" t="s">
        <v>39</v>
      </c>
      <c r="I52" s="44">
        <f>I28*I$23</f>
        <v>23950.24135620513</v>
      </c>
      <c r="J52" s="44">
        <f t="shared" ref="J52:T52" si="17">J28*J$23</f>
        <v>25774.39557875325</v>
      </c>
      <c r="K52" s="44">
        <f t="shared" si="17"/>
        <v>27748.807794864129</v>
      </c>
      <c r="L52" s="44">
        <f t="shared" si="17"/>
        <v>29434.848993721531</v>
      </c>
      <c r="M52" s="44">
        <f t="shared" si="17"/>
        <v>31223.692635719781</v>
      </c>
      <c r="N52" s="44">
        <f t="shared" si="17"/>
        <v>33121.638664720027</v>
      </c>
      <c r="O52" s="44">
        <f t="shared" si="17"/>
        <v>35135.375920331593</v>
      </c>
      <c r="P52" s="44">
        <f t="shared" si="17"/>
        <v>37272.006393650547</v>
      </c>
      <c r="Q52" s="44">
        <f t="shared" si="17"/>
        <v>39539.071017690047</v>
      </c>
      <c r="R52" s="44">
        <f t="shared" si="17"/>
        <v>41944.577091499654</v>
      </c>
      <c r="S52" s="44">
        <f t="shared" si="17"/>
        <v>44497.027443518084</v>
      </c>
      <c r="T52" s="52">
        <f t="shared" si="17"/>
        <v>47205.451446698615</v>
      </c>
    </row>
    <row r="53" spans="4:20" x14ac:dyDescent="0.35">
      <c r="D53" s="10"/>
      <c r="G53" s="51" t="s">
        <v>40</v>
      </c>
      <c r="I53" s="44">
        <f>I29*I$23</f>
        <v>7185.0724068615391</v>
      </c>
      <c r="J53" s="44">
        <f t="shared" ref="J53:T53" si="18">J29*J$23</f>
        <v>7828.2223447521774</v>
      </c>
      <c r="K53" s="44">
        <f t="shared" si="18"/>
        <v>8532.4234280708806</v>
      </c>
      <c r="L53" s="44">
        <f t="shared" si="18"/>
        <v>9163.1182448482614</v>
      </c>
      <c r="M53" s="44">
        <f t="shared" si="18"/>
        <v>9840.5449603736488</v>
      </c>
      <c r="N53" s="44">
        <f t="shared" si="18"/>
        <v>10568.177764458615</v>
      </c>
      <c r="O53" s="44">
        <f t="shared" si="18"/>
        <v>11349.75031051009</v>
      </c>
      <c r="P53" s="44">
        <f t="shared" si="18"/>
        <v>12189.275213660609</v>
      </c>
      <c r="Q53" s="44">
        <f t="shared" si="18"/>
        <v>13091.065026382905</v>
      </c>
      <c r="R53" s="44">
        <f t="shared" si="18"/>
        <v>14059.75480478174</v>
      </c>
      <c r="S53" s="44">
        <f t="shared" si="18"/>
        <v>15100.326387551215</v>
      </c>
      <c r="T53" s="52">
        <f t="shared" si="18"/>
        <v>16218.134519077079</v>
      </c>
    </row>
    <row r="54" spans="4:20" x14ac:dyDescent="0.35">
      <c r="G54" s="51" t="s">
        <v>48</v>
      </c>
      <c r="I54" s="44">
        <f>I30*I$23</f>
        <v>8382.5844746717903</v>
      </c>
      <c r="J54" s="44">
        <f t="shared" ref="J54:T54" si="19">J30*J$23</f>
        <v>9105.2893846170409</v>
      </c>
      <c r="K54" s="44">
        <f t="shared" si="19"/>
        <v>9894.3395738672352</v>
      </c>
      <c r="L54" s="44">
        <f t="shared" si="19"/>
        <v>10593.549829843418</v>
      </c>
      <c r="M54" s="44">
        <f t="shared" si="19"/>
        <v>11342.301404734866</v>
      </c>
      <c r="N54" s="44">
        <f t="shared" si="19"/>
        <v>12144.11733824713</v>
      </c>
      <c r="O54" s="44">
        <f t="shared" si="19"/>
        <v>13002.77247919024</v>
      </c>
      <c r="P54" s="44">
        <f t="shared" si="19"/>
        <v>13922.311609236642</v>
      </c>
      <c r="Q54" s="44">
        <f t="shared" si="19"/>
        <v>14907.068883458043</v>
      </c>
      <c r="R54" s="44">
        <f t="shared" si="19"/>
        <v>15961.68868451402</v>
      </c>
      <c r="S54" s="44">
        <f t="shared" si="19"/>
        <v>17091.147994607276</v>
      </c>
      <c r="T54" s="52">
        <f t="shared" si="19"/>
        <v>18300.780397116403</v>
      </c>
    </row>
    <row r="55" spans="4:20" x14ac:dyDescent="0.35">
      <c r="G55" s="49" t="s">
        <v>41</v>
      </c>
      <c r="T55" s="50"/>
    </row>
    <row r="56" spans="4:20" x14ac:dyDescent="0.35">
      <c r="G56" s="51" t="s">
        <v>42</v>
      </c>
      <c r="I56" s="44">
        <f>I32*I$23</f>
        <v>7185.0724068615391</v>
      </c>
      <c r="J56" s="44">
        <f t="shared" ref="J56:T56" si="20">J32*J$23</f>
        <v>7828.2223447521774</v>
      </c>
      <c r="K56" s="44">
        <f t="shared" si="20"/>
        <v>8532.4234280708806</v>
      </c>
      <c r="L56" s="44">
        <f t="shared" si="20"/>
        <v>9163.1182448482614</v>
      </c>
      <c r="M56" s="44">
        <f t="shared" si="20"/>
        <v>9840.5449603736488</v>
      </c>
      <c r="N56" s="44">
        <f t="shared" si="20"/>
        <v>10568.177764458615</v>
      </c>
      <c r="O56" s="44">
        <f t="shared" si="20"/>
        <v>11349.75031051009</v>
      </c>
      <c r="P56" s="44">
        <f t="shared" si="20"/>
        <v>12189.275213660609</v>
      </c>
      <c r="Q56" s="44">
        <f t="shared" si="20"/>
        <v>13091.065026382905</v>
      </c>
      <c r="R56" s="44">
        <f t="shared" si="20"/>
        <v>14059.75480478174</v>
      </c>
      <c r="S56" s="44">
        <f t="shared" si="20"/>
        <v>15100.326387551215</v>
      </c>
      <c r="T56" s="52">
        <f t="shared" si="20"/>
        <v>16218.134519077079</v>
      </c>
    </row>
    <row r="57" spans="4:20" x14ac:dyDescent="0.35">
      <c r="G57" s="51" t="s">
        <v>43</v>
      </c>
      <c r="I57" s="44">
        <f>I33*I$23</f>
        <v>13412.135159474865</v>
      </c>
      <c r="J57" s="44">
        <f t="shared" ref="J57:T57" si="21">J33*J$23</f>
        <v>14348.790628552619</v>
      </c>
      <c r="K57" s="44">
        <f t="shared" si="21"/>
        <v>15357.125012290142</v>
      </c>
      <c r="L57" s="44">
        <f t="shared" si="21"/>
        <v>16194.449326050704</v>
      </c>
      <c r="M57" s="44">
        <f t="shared" si="21"/>
        <v>17077.622835653456</v>
      </c>
      <c r="N57" s="44">
        <f t="shared" si="21"/>
        <v>18009.17223573141</v>
      </c>
      <c r="O57" s="44">
        <f t="shared" si="21"/>
        <v>18991.764791892976</v>
      </c>
      <c r="P57" s="44">
        <f t="shared" si="21"/>
        <v>20028.216269841178</v>
      </c>
      <c r="Q57" s="44">
        <f t="shared" si="21"/>
        <v>21121.49932053619</v>
      </c>
      <c r="R57" s="44">
        <f t="shared" si="21"/>
        <v>22274.752348332957</v>
      </c>
      <c r="S57" s="44">
        <f t="shared" si="21"/>
        <v>23491.28889067013</v>
      </c>
      <c r="T57" s="52">
        <f t="shared" si="21"/>
        <v>24774.607539637473</v>
      </c>
    </row>
    <row r="58" spans="4:20" x14ac:dyDescent="0.35">
      <c r="G58" s="51" t="s">
        <v>44</v>
      </c>
      <c r="I58" s="44">
        <f>I34*I$23</f>
        <v>14370.144813723076</v>
      </c>
      <c r="J58" s="44">
        <f t="shared" ref="J58:T58" si="22">J34*J$23</f>
        <v>15483.191519373695</v>
      </c>
      <c r="K58" s="44">
        <f t="shared" si="22"/>
        <v>16689.259621172216</v>
      </c>
      <c r="L58" s="44">
        <f t="shared" si="22"/>
        <v>17724.553344229149</v>
      </c>
      <c r="M58" s="44">
        <f t="shared" si="22"/>
        <v>18824.285310172429</v>
      </c>
      <c r="N58" s="44">
        <f t="shared" si="22"/>
        <v>19992.48570870098</v>
      </c>
      <c r="O58" s="44">
        <f t="shared" si="22"/>
        <v>21233.438543679949</v>
      </c>
      <c r="P58" s="44">
        <f t="shared" si="22"/>
        <v>22551.697774946453</v>
      </c>
      <c r="Q58" s="44">
        <f t="shared" si="22"/>
        <v>23952.104500662484</v>
      </c>
      <c r="R58" s="44">
        <f t="shared" si="22"/>
        <v>25439.805248523739</v>
      </c>
      <c r="S58" s="44">
        <f t="shared" si="22"/>
        <v>27020.271448724241</v>
      </c>
      <c r="T58" s="52">
        <f t="shared" si="22"/>
        <v>28699.320166485904</v>
      </c>
    </row>
    <row r="59" spans="4:20" x14ac:dyDescent="0.35">
      <c r="G59" s="51" t="s">
        <v>48</v>
      </c>
      <c r="I59" s="44">
        <f>I35*I$23</f>
        <v>15567.65688153333</v>
      </c>
      <c r="J59" s="44">
        <f t="shared" ref="J59:S59" si="23">J35*J$23</f>
        <v>16848.39020601883</v>
      </c>
      <c r="K59" s="44">
        <f t="shared" si="23"/>
        <v>18241.931351939173</v>
      </c>
      <c r="L59" s="44">
        <f t="shared" si="23"/>
        <v>19460.090976819585</v>
      </c>
      <c r="M59" s="44">
        <f t="shared" si="23"/>
        <v>20759.83431635439</v>
      </c>
      <c r="N59" s="44">
        <f t="shared" si="23"/>
        <v>22146.647887410858</v>
      </c>
      <c r="O59" s="44">
        <f t="shared" si="23"/>
        <v>23626.389323818992</v>
      </c>
      <c r="P59" s="44">
        <f t="shared" si="23"/>
        <v>25205.312682471504</v>
      </c>
      <c r="Q59" s="44">
        <f t="shared" si="23"/>
        <v>26890.095494123285</v>
      </c>
      <c r="R59" s="44">
        <f t="shared" si="23"/>
        <v>28687.867680958512</v>
      </c>
      <c r="S59" s="44">
        <f t="shared" si="23"/>
        <v>30606.242471697991</v>
      </c>
      <c r="T59" s="52">
        <f>T35*T$23</f>
        <v>32653.349454360214</v>
      </c>
    </row>
    <row r="60" spans="4:20" x14ac:dyDescent="0.35">
      <c r="G60" s="49" t="s">
        <v>45</v>
      </c>
      <c r="T60" s="50"/>
    </row>
    <row r="61" spans="4:20" x14ac:dyDescent="0.35">
      <c r="G61" s="51" t="s">
        <v>46</v>
      </c>
      <c r="I61" s="44">
        <f>I37*I$23</f>
        <v>14370.144813723076</v>
      </c>
      <c r="J61" s="44">
        <f t="shared" ref="J61:T61" si="24">J37*J$23</f>
        <v>15483.191519373695</v>
      </c>
      <c r="K61" s="44">
        <f t="shared" si="24"/>
        <v>16689.259621172216</v>
      </c>
      <c r="L61" s="44">
        <f t="shared" si="24"/>
        <v>17724.553344229149</v>
      </c>
      <c r="M61" s="44">
        <f t="shared" si="24"/>
        <v>18824.285310172429</v>
      </c>
      <c r="N61" s="44">
        <f t="shared" si="24"/>
        <v>19992.48570870098</v>
      </c>
      <c r="O61" s="44">
        <f t="shared" si="24"/>
        <v>21233.438543679949</v>
      </c>
      <c r="P61" s="44">
        <f t="shared" si="24"/>
        <v>22551.697774946453</v>
      </c>
      <c r="Q61" s="44">
        <f t="shared" si="24"/>
        <v>23952.104500662484</v>
      </c>
      <c r="R61" s="44">
        <f t="shared" si="24"/>
        <v>25439.805248523739</v>
      </c>
      <c r="S61" s="44">
        <f t="shared" si="24"/>
        <v>27020.271448724241</v>
      </c>
      <c r="T61" s="52">
        <f t="shared" si="24"/>
        <v>28699.320166485904</v>
      </c>
    </row>
    <row r="62" spans="4:20" x14ac:dyDescent="0.35">
      <c r="G62" s="51" t="s">
        <v>47</v>
      </c>
      <c r="I62" s="44">
        <f>I38*I$23</f>
        <v>17962.681017153842</v>
      </c>
      <c r="J62" s="44">
        <f t="shared" ref="J62:T62" si="25">J38*J$23</f>
        <v>19399.477676368719</v>
      </c>
      <c r="K62" s="44">
        <f t="shared" si="25"/>
        <v>20959.752968729194</v>
      </c>
      <c r="L62" s="44">
        <f t="shared" si="25"/>
        <v>22312.278748550474</v>
      </c>
      <c r="M62" s="44">
        <f t="shared" si="25"/>
        <v>23752.354244937942</v>
      </c>
      <c r="N62" s="44">
        <f t="shared" si="25"/>
        <v>25285.671845932004</v>
      </c>
      <c r="O62" s="44">
        <f t="shared" si="25"/>
        <v>26918.296391561351</v>
      </c>
      <c r="P62" s="44">
        <f t="shared" si="25"/>
        <v>28656.689759050962</v>
      </c>
      <c r="Q62" s="44">
        <f t="shared" si="25"/>
        <v>30507.737090649462</v>
      </c>
      <c r="R62" s="44">
        <f t="shared" si="25"/>
        <v>32478.774775621598</v>
      </c>
      <c r="S62" s="44">
        <f t="shared" si="25"/>
        <v>34577.620305686549</v>
      </c>
      <c r="T62" s="52">
        <f t="shared" si="25"/>
        <v>36812.604131469925</v>
      </c>
    </row>
    <row r="63" spans="4:20" x14ac:dyDescent="0.35">
      <c r="G63" s="51" t="s">
        <v>48</v>
      </c>
      <c r="I63" s="44">
        <f>I39*I$23</f>
        <v>19160.193084964103</v>
      </c>
      <c r="J63" s="44">
        <f t="shared" ref="J63:T63" si="26">J39*J$23</f>
        <v>20763.289423593687</v>
      </c>
      <c r="K63" s="44">
        <f t="shared" si="26"/>
        <v>22509.698492108397</v>
      </c>
      <c r="L63" s="44">
        <f t="shared" si="26"/>
        <v>24043.896083260261</v>
      </c>
      <c r="M63" s="44">
        <f t="shared" si="26"/>
        <v>25682.954024556086</v>
      </c>
      <c r="N63" s="44">
        <f t="shared" si="26"/>
        <v>27434.067777767905</v>
      </c>
      <c r="O63" s="44">
        <f t="shared" si="26"/>
        <v>29304.929290812022</v>
      </c>
      <c r="P63" s="44">
        <f t="shared" si="26"/>
        <v>31303.761518070558</v>
      </c>
      <c r="Q63" s="44">
        <f t="shared" si="26"/>
        <v>33439.355365981915</v>
      </c>
      <c r="R63" s="44">
        <f t="shared" si="26"/>
        <v>35721.109236668963</v>
      </c>
      <c r="S63" s="44">
        <f t="shared" si="26"/>
        <v>38159.071354903419</v>
      </c>
      <c r="T63" s="52">
        <f t="shared" si="26"/>
        <v>40763.985077165366</v>
      </c>
    </row>
    <row r="64" spans="4:20" x14ac:dyDescent="0.35">
      <c r="G64" s="51"/>
      <c r="T64" s="50"/>
    </row>
    <row r="65" spans="7:20" x14ac:dyDescent="0.35">
      <c r="G65" s="49" t="s">
        <v>49</v>
      </c>
      <c r="T65" s="50"/>
    </row>
    <row r="66" spans="7:20" x14ac:dyDescent="0.35">
      <c r="G66" s="49" t="s">
        <v>50</v>
      </c>
      <c r="I66" s="44">
        <f>I42*I$23</f>
        <v>0</v>
      </c>
      <c r="J66" s="44">
        <f t="shared" ref="J66:T66" si="27">J42*J$23</f>
        <v>0</v>
      </c>
      <c r="K66" s="44">
        <f t="shared" si="27"/>
        <v>0</v>
      </c>
      <c r="L66" s="44">
        <f t="shared" si="27"/>
        <v>0</v>
      </c>
      <c r="M66" s="44">
        <f t="shared" si="27"/>
        <v>0</v>
      </c>
      <c r="N66" s="44">
        <f>N42*N$23</f>
        <v>7501.7259954111069</v>
      </c>
      <c r="O66" s="44">
        <f t="shared" si="27"/>
        <v>9282.7977046735505</v>
      </c>
      <c r="P66" s="44">
        <f t="shared" si="27"/>
        <v>11486.876532767315</v>
      </c>
      <c r="Q66" s="44">
        <f t="shared" si="27"/>
        <v>14214.465761920006</v>
      </c>
      <c r="R66" s="44">
        <f t="shared" si="27"/>
        <v>17589.957896288615</v>
      </c>
      <c r="S66" s="44">
        <f t="shared" si="27"/>
        <v>21767.315845395988</v>
      </c>
      <c r="T66" s="52">
        <f t="shared" si="27"/>
        <v>26937.105930512658</v>
      </c>
    </row>
    <row r="67" spans="7:20" x14ac:dyDescent="0.35">
      <c r="G67" s="51" t="s">
        <v>51</v>
      </c>
      <c r="I67" s="44">
        <f>I43*I$23</f>
        <v>0</v>
      </c>
      <c r="J67" s="44">
        <f t="shared" ref="J67:T67" si="28">J43*J$23</f>
        <v>0</v>
      </c>
      <c r="K67" s="44">
        <f t="shared" si="28"/>
        <v>0</v>
      </c>
      <c r="L67" s="44">
        <f t="shared" si="28"/>
        <v>0</v>
      </c>
      <c r="M67" s="44">
        <f t="shared" si="28"/>
        <v>0</v>
      </c>
      <c r="N67" s="44">
        <f t="shared" si="28"/>
        <v>4425.1149824305685</v>
      </c>
      <c r="O67" s="44">
        <f t="shared" si="28"/>
        <v>4914.5860477560254</v>
      </c>
      <c r="P67" s="44">
        <f t="shared" si="28"/>
        <v>5458.26610393178</v>
      </c>
      <c r="Q67" s="44">
        <f t="shared" si="28"/>
        <v>6062.1682830207219</v>
      </c>
      <c r="R67" s="44">
        <f t="shared" si="28"/>
        <v>6732.9740513028819</v>
      </c>
      <c r="S67" s="44">
        <f t="shared" si="28"/>
        <v>7478.107677446681</v>
      </c>
      <c r="T67" s="52">
        <f t="shared" si="28"/>
        <v>8305.8190240975546</v>
      </c>
    </row>
    <row r="68" spans="7:20" x14ac:dyDescent="0.35">
      <c r="G68" s="51" t="s">
        <v>52</v>
      </c>
      <c r="I68" s="44">
        <f>I44*I$23</f>
        <v>0</v>
      </c>
      <c r="J68" s="44">
        <f t="shared" ref="J68:T68" si="29">J44*J$23</f>
        <v>0</v>
      </c>
      <c r="K68" s="44">
        <f t="shared" si="29"/>
        <v>0</v>
      </c>
      <c r="L68" s="44">
        <f t="shared" si="29"/>
        <v>0</v>
      </c>
      <c r="M68" s="44">
        <f t="shared" si="29"/>
        <v>0</v>
      </c>
      <c r="N68" s="44">
        <f>N44*N$23</f>
        <v>6249.5830516970072</v>
      </c>
      <c r="O68" s="44">
        <f t="shared" si="29"/>
        <v>7010.9072736219568</v>
      </c>
      <c r="P68" s="44">
        <f t="shared" si="29"/>
        <v>7865.0734077511652</v>
      </c>
      <c r="Q68" s="44">
        <f t="shared" si="29"/>
        <v>8823.4181128986602</v>
      </c>
      <c r="R68" s="44">
        <f t="shared" si="29"/>
        <v>9898.6645752287841</v>
      </c>
      <c r="S68" s="44">
        <f t="shared" si="29"/>
        <v>11105.092426366702</v>
      </c>
      <c r="T68" s="52">
        <f t="shared" si="29"/>
        <v>12458.728536146336</v>
      </c>
    </row>
    <row r="69" spans="7:20" x14ac:dyDescent="0.35">
      <c r="G69" s="51" t="s">
        <v>53</v>
      </c>
      <c r="I69" s="44">
        <f>I45*I$23</f>
        <v>0</v>
      </c>
      <c r="J69" s="44">
        <f t="shared" ref="J69:T69" si="30">J45*J$23</f>
        <v>0</v>
      </c>
      <c r="K69" s="44">
        <f t="shared" si="30"/>
        <v>0</v>
      </c>
      <c r="L69" s="44">
        <f t="shared" si="30"/>
        <v>0</v>
      </c>
      <c r="M69" s="44">
        <f t="shared" si="30"/>
        <v>0</v>
      </c>
      <c r="N69" s="44">
        <f t="shared" si="30"/>
        <v>7811.9788146212595</v>
      </c>
      <c r="O69" s="44">
        <f t="shared" si="30"/>
        <v>9194.0605362614897</v>
      </c>
      <c r="P69" s="44">
        <f t="shared" si="30"/>
        <v>10820.791749837534</v>
      </c>
      <c r="Q69" s="44">
        <f t="shared" si="30"/>
        <v>12735.507056636648</v>
      </c>
      <c r="R69" s="44">
        <f t="shared" si="30"/>
        <v>14989.222700988517</v>
      </c>
      <c r="S69" s="44">
        <f t="shared" si="30"/>
        <v>17641.999455153287</v>
      </c>
      <c r="T69" s="52">
        <f t="shared" si="30"/>
        <v>20764.547560243878</v>
      </c>
    </row>
    <row r="70" spans="7:20" ht="15" thickBot="1" x14ac:dyDescent="0.4">
      <c r="G70" s="53" t="s">
        <v>48</v>
      </c>
      <c r="H70" s="9"/>
      <c r="I70" s="54">
        <f>I46*I$23</f>
        <v>93166.438875637934</v>
      </c>
      <c r="J70" s="54">
        <f t="shared" ref="J70:T70" si="31">J46*J$23</f>
        <v>96498.844015452574</v>
      </c>
      <c r="K70" s="54">
        <f t="shared" si="31"/>
        <v>99858.076867642274</v>
      </c>
      <c r="L70" s="54">
        <f t="shared" si="31"/>
        <v>101666.51677659567</v>
      </c>
      <c r="M70" s="54">
        <f t="shared" si="31"/>
        <v>103346.12021962514</v>
      </c>
      <c r="N70" s="54">
        <f t="shared" si="31"/>
        <v>78885.914515211029</v>
      </c>
      <c r="O70" s="54">
        <f t="shared" si="31"/>
        <v>75823.780059186436</v>
      </c>
      <c r="P70" s="54">
        <f t="shared" si="31"/>
        <v>71742.942101499226</v>
      </c>
      <c r="Q70" s="54">
        <f t="shared" si="31"/>
        <v>66451.71195322946</v>
      </c>
      <c r="R70" s="54">
        <f t="shared" si="31"/>
        <v>59721.612290870864</v>
      </c>
      <c r="S70" s="54">
        <f t="shared" si="31"/>
        <v>51279.787791964249</v>
      </c>
      <c r="T70" s="55">
        <f t="shared" si="31"/>
        <v>40799.76429104578</v>
      </c>
    </row>
    <row r="71" spans="7:20" x14ac:dyDescent="0.35">
      <c r="G71" s="49"/>
      <c r="I71" s="44"/>
      <c r="J71" s="44"/>
      <c r="K71" s="44"/>
      <c r="L71" s="44"/>
      <c r="M71" s="44"/>
      <c r="N71" s="44"/>
      <c r="O71" s="44"/>
      <c r="P71" s="44"/>
      <c r="Q71" s="44"/>
      <c r="R71" s="44"/>
      <c r="S71" s="44"/>
      <c r="T71" s="52"/>
    </row>
    <row r="72" spans="7:20" ht="15" thickBot="1" x14ac:dyDescent="0.4">
      <c r="G72" s="49"/>
      <c r="I72" s="44"/>
      <c r="J72" s="44"/>
      <c r="K72" s="44"/>
      <c r="L72" s="44"/>
      <c r="M72" s="44"/>
      <c r="N72" s="44"/>
      <c r="O72" s="44"/>
      <c r="P72" s="44"/>
      <c r="Q72" s="44"/>
      <c r="R72" s="44"/>
      <c r="S72" s="44"/>
      <c r="T72" s="52"/>
    </row>
    <row r="73" spans="7:20" ht="15" thickBot="1" x14ac:dyDescent="0.4">
      <c r="G73" s="49" t="s">
        <v>54</v>
      </c>
      <c r="H73" s="47"/>
      <c r="I73" s="47"/>
      <c r="J73" s="47"/>
      <c r="K73" s="47"/>
      <c r="L73" s="47"/>
      <c r="M73" s="47"/>
      <c r="N73" s="47"/>
      <c r="O73" s="47"/>
      <c r="P73" s="47"/>
      <c r="Q73" s="47"/>
      <c r="R73" s="47"/>
      <c r="S73" s="47"/>
      <c r="T73" s="48"/>
    </row>
    <row r="74" spans="7:20" x14ac:dyDescent="0.35">
      <c r="G74" s="46" t="s">
        <v>36</v>
      </c>
      <c r="T74" s="50"/>
    </row>
    <row r="75" spans="7:20" x14ac:dyDescent="0.35">
      <c r="G75" s="49" t="s">
        <v>37</v>
      </c>
      <c r="T75" s="50"/>
    </row>
    <row r="76" spans="7:20" x14ac:dyDescent="0.35">
      <c r="G76" s="51" t="s">
        <v>38</v>
      </c>
      <c r="I76" s="44">
        <f>I51*'Drug Price'!B2</f>
        <v>138911.39986598969</v>
      </c>
      <c r="J76" s="44">
        <f>J51*'Drug Price'!C2</f>
        <v>168929.57543100772</v>
      </c>
      <c r="K76" s="44">
        <f>K51*'Drug Price'!D2</f>
        <v>205518.41265468343</v>
      </c>
      <c r="L76" s="44">
        <f>L51*'Drug Price'!E2</f>
        <v>246352.75740602612</v>
      </c>
      <c r="M76" s="44">
        <f>M51*'Drug Price'!F2</f>
        <v>295303.83427885576</v>
      </c>
      <c r="N76" s="44">
        <f>N51*'Drug Price'!G2</f>
        <v>353985.80352363904</v>
      </c>
      <c r="O76" s="44">
        <f>O51*'Drug Price'!H2</f>
        <v>424334.01047832135</v>
      </c>
      <c r="P76" s="44">
        <f>P51*'Drug Price'!I2</f>
        <v>508668.93635427149</v>
      </c>
      <c r="Q76" s="44">
        <f>Q51*'Drug Price'!J2</f>
        <v>609772.89174852066</v>
      </c>
      <c r="R76" s="44">
        <f>R51*'Drug Price'!K2</f>
        <v>730981.9941785757</v>
      </c>
      <c r="S76" s="44">
        <f>S51*'Drug Price'!L2</f>
        <v>876296.47825646144</v>
      </c>
      <c r="T76" s="44">
        <f>T51*'Drug Price'!M2</f>
        <v>1050512.995832233</v>
      </c>
    </row>
    <row r="77" spans="7:20" x14ac:dyDescent="0.35">
      <c r="G77" s="51" t="s">
        <v>39</v>
      </c>
      <c r="I77" s="44">
        <f>I52*'Drug Price'!B3</f>
        <v>2155521.7220584615</v>
      </c>
      <c r="J77" s="44">
        <f>J52*'Drug Price'!C3</f>
        <v>2342020.9249125277</v>
      </c>
      <c r="K77" s="44">
        <f>K52*'Drug Price'!D3</f>
        <v>2545695.0724547547</v>
      </c>
      <c r="L77" s="44">
        <f>L52*'Drug Price'!E3</f>
        <v>2726362.7360653579</v>
      </c>
      <c r="M77" s="44">
        <f>M52*'Drug Price'!F3</f>
        <v>2919885.759674212</v>
      </c>
      <c r="N77" s="44">
        <f>N52*'Drug Price'!G3</f>
        <v>3127182.1881989781</v>
      </c>
      <c r="O77" s="44">
        <f>O52*'Drug Price'!H3</f>
        <v>3349235.9574588812</v>
      </c>
      <c r="P77" s="44">
        <f>P52*'Drug Price'!I3</f>
        <v>3587101.6560373902</v>
      </c>
      <c r="Q77" s="44">
        <f>Q52*'Drug Price'!J3</f>
        <v>3841909.6344957366</v>
      </c>
      <c r="R77" s="44">
        <f>R52*'Drug Price'!K3</f>
        <v>4114871.4875890366</v>
      </c>
      <c r="S77" s="44">
        <f>S52*'Drug Price'!L3</f>
        <v>4407285.9370615575</v>
      </c>
      <c r="T77" s="44">
        <f>T52*'Drug Price'!M3</f>
        <v>4720545.1446698681</v>
      </c>
    </row>
    <row r="78" spans="7:20" x14ac:dyDescent="0.35">
      <c r="G78" s="51" t="s">
        <v>40</v>
      </c>
      <c r="I78" s="44">
        <f>I53*'Drug Price'!B4</f>
        <v>625101.29939695378</v>
      </c>
      <c r="J78" s="44">
        <f>J53*'Drug Price'!C4</f>
        <v>684523.93635945546</v>
      </c>
      <c r="K78" s="44">
        <f>K53*'Drug Price'!D4</f>
        <v>749901.32380025205</v>
      </c>
      <c r="L78" s="44">
        <f>L53*'Drug Price'!E4</f>
        <v>809433.63266830309</v>
      </c>
      <c r="M78" s="44">
        <f>M53*'Drug Price'!F4</f>
        <v>873702.01800630963</v>
      </c>
      <c r="N78" s="44">
        <f>N53*'Drug Price'!G4</f>
        <v>943084.33859343303</v>
      </c>
      <c r="O78" s="44">
        <f>O53*'Drug Price'!H4</f>
        <v>1017988.7167428136</v>
      </c>
      <c r="P78" s="44">
        <f>P53*'Drug Price'!I4</f>
        <v>1098855.9747510233</v>
      </c>
      <c r="Q78" s="44">
        <f>Q53*'Drug Price'!J4</f>
        <v>1186162.2688497184</v>
      </c>
      <c r="R78" s="44">
        <f>R53*'Drug Price'!K4</f>
        <v>1280421.9368132933</v>
      </c>
      <c r="S78" s="44">
        <f>S53*'Drug Price'!L4</f>
        <v>1382190.5767128044</v>
      </c>
      <c r="T78" s="44">
        <f>T53*'Drug Price'!M4</f>
        <v>1492068.3757550905</v>
      </c>
    </row>
    <row r="79" spans="7:20" x14ac:dyDescent="0.35">
      <c r="G79" s="51" t="s">
        <v>48</v>
      </c>
      <c r="I79" s="44">
        <f>I54*'Drug Price'!B5</f>
        <v>469424.73058162013</v>
      </c>
      <c r="J79" s="44">
        <f>J54*'Drug Price'!C5</f>
        <v>520345.47389161348</v>
      </c>
      <c r="K79" s="44">
        <f>K54*'Drug Price'!D5</f>
        <v>577025.28031976346</v>
      </c>
      <c r="L79" s="44">
        <f>L54*'Drug Price'!E5</f>
        <v>630462.91305749805</v>
      </c>
      <c r="M79" s="44">
        <f>M54*'Drug Price'!F5</f>
        <v>688857.22143568064</v>
      </c>
      <c r="N79" s="44">
        <f>N54*'Drug Price'!G5</f>
        <v>752668.92805828876</v>
      </c>
      <c r="O79" s="44">
        <f>O54*'Drug Price'!H5</f>
        <v>822401.69639970222</v>
      </c>
      <c r="P79" s="44">
        <f>P54*'Drug Price'!I5</f>
        <v>898606.14720491122</v>
      </c>
      <c r="Q79" s="44">
        <f>Q54*'Drug Price'!J5</f>
        <v>981884.25227182638</v>
      </c>
      <c r="R79" s="44">
        <f>R54*'Drug Price'!K5</f>
        <v>1072894.1412814991</v>
      </c>
      <c r="S79" s="44">
        <f>S54*'Drug Price'!L5</f>
        <v>1172355.3607375785</v>
      </c>
      <c r="T79" s="44">
        <f>T54*'Drug Price'!M5</f>
        <v>1281054.6277981489</v>
      </c>
    </row>
    <row r="80" spans="7:20" x14ac:dyDescent="0.35">
      <c r="G80" s="49" t="s">
        <v>41</v>
      </c>
      <c r="I80" s="44"/>
      <c r="J80" s="44"/>
      <c r="K80" s="44"/>
      <c r="L80" s="44"/>
      <c r="M80" s="44"/>
      <c r="N80" s="44"/>
      <c r="O80" s="44"/>
      <c r="P80" s="44"/>
      <c r="Q80" s="44"/>
      <c r="R80" s="44"/>
      <c r="S80" s="44"/>
      <c r="T80" s="44"/>
    </row>
    <row r="81" spans="7:20" x14ac:dyDescent="0.35">
      <c r="G81" s="51" t="s">
        <v>42</v>
      </c>
      <c r="I81" s="44">
        <f>I56*'Drug Price'!B7</f>
        <v>639471.44421067683</v>
      </c>
      <c r="J81" s="44">
        <f>J56*'Drug Price'!C7</f>
        <v>698814.73184227583</v>
      </c>
      <c r="K81" s="44">
        <f>K56*'Drug Price'!D7</f>
        <v>763976.83757664822</v>
      </c>
      <c r="L81" s="44">
        <f>L56*'Drug Price'!E7</f>
        <v>822924.46905380383</v>
      </c>
      <c r="M81" s="44">
        <f>M56*'Drug Price'!F7</f>
        <v>886430.57559832721</v>
      </c>
      <c r="N81" s="44">
        <f>N56*'Drug Price'!G7</f>
        <v>954848.74235421466</v>
      </c>
      <c r="O81" s="44">
        <f>O56*'Drug Price'!H7</f>
        <v>1028560.0943605397</v>
      </c>
      <c r="P81" s="44">
        <f>P56*'Drug Price'!I7</f>
        <v>1107975.4535292482</v>
      </c>
      <c r="Q81" s="44">
        <f>Q56*'Drug Price'!J7</f>
        <v>1193537.6658168524</v>
      </c>
      <c r="R81" s="44">
        <f>R56*'Drug Price'!K7</f>
        <v>1285724.1121499913</v>
      </c>
      <c r="S81" s="44">
        <f>S56*'Drug Price'!L7</f>
        <v>1385049.4177587335</v>
      </c>
      <c r="T81" s="44">
        <f>T56*'Drug Price'!M7</f>
        <v>1492068.3757550917</v>
      </c>
    </row>
    <row r="82" spans="7:20" x14ac:dyDescent="0.35">
      <c r="G82" s="51" t="s">
        <v>43</v>
      </c>
      <c r="I82" s="44">
        <f>I57*'Drug Price'!B8</f>
        <v>362127.64930582151</v>
      </c>
      <c r="J82" s="44">
        <f>J57*'Drug Price'!C8</f>
        <v>391145.94710761285</v>
      </c>
      <c r="K82" s="44">
        <f>K57*'Drug Price'!D8</f>
        <v>422662.02310242492</v>
      </c>
      <c r="L82" s="44">
        <f>L57*'Drug Price'!E8</f>
        <v>449996.63340954506</v>
      </c>
      <c r="M82" s="44">
        <f>M57*'Drug Price'!F8</f>
        <v>479104.52144792111</v>
      </c>
      <c r="N82" s="44">
        <f>N57*'Drug Price'!G8</f>
        <v>510101.23511589476</v>
      </c>
      <c r="O82" s="44">
        <f>O57*'Drug Price'!H8</f>
        <v>543109.89881683839</v>
      </c>
      <c r="P82" s="44">
        <f>P57*'Drug Price'!I8</f>
        <v>578261.71462500992</v>
      </c>
      <c r="Q82" s="44">
        <f>Q57*'Drug Price'!J8</f>
        <v>615696.49700361595</v>
      </c>
      <c r="R82" s="44">
        <f>R57*'Drug Price'!K8</f>
        <v>655563.24335789285</v>
      </c>
      <c r="S82" s="44">
        <f>S57*'Drug Price'!L8</f>
        <v>698020.74286458408</v>
      </c>
      <c r="T82" s="44">
        <f>T57*'Drug Price'!M8</f>
        <v>743238.22618912568</v>
      </c>
    </row>
    <row r="83" spans="7:20" x14ac:dyDescent="0.35">
      <c r="G83" s="51" t="s">
        <v>44</v>
      </c>
      <c r="I83" s="44">
        <f>I58*'Drug Price'!B9</f>
        <v>1235832.4539801839</v>
      </c>
      <c r="J83" s="44">
        <f>J58*'Drug Price'!C9</f>
        <v>1337069.0974948721</v>
      </c>
      <c r="K83" s="44">
        <f>K58*'Drug Price'!D9</f>
        <v>1447189.3261190692</v>
      </c>
      <c r="L83" s="44">
        <f>L58*'Drug Price'!E9</f>
        <v>1543328.9194656643</v>
      </c>
      <c r="M83" s="44">
        <f>M58*'Drug Price'!F9</f>
        <v>1645874.0783147665</v>
      </c>
      <c r="N83" s="44">
        <f>N58*'Drug Price'!G9</f>
        <v>1755253.3775188809</v>
      </c>
      <c r="O83" s="44">
        <f>O58*'Drug Price'!H9</f>
        <v>1871924.2354452522</v>
      </c>
      <c r="P83" s="44">
        <f>P58*'Drug Price'!I9</f>
        <v>1996374.8710969435</v>
      </c>
      <c r="Q83" s="44">
        <f>Q58*'Drug Price'!J9</f>
        <v>2129126.3955220846</v>
      </c>
      <c r="R83" s="44">
        <f>R58*'Drug Price'!K9</f>
        <v>2270735.0468640658</v>
      </c>
      <c r="S83" s="44">
        <f>S58*'Drug Price'!L9</f>
        <v>2421794.5790695678</v>
      </c>
      <c r="T83" s="44">
        <f>T58*'Drug Price'!M9</f>
        <v>2582938.8149837311</v>
      </c>
    </row>
    <row r="84" spans="7:20" x14ac:dyDescent="0.35">
      <c r="G84" s="51" t="s">
        <v>48</v>
      </c>
      <c r="I84" s="44">
        <f>I59*'Drug Price'!B10</f>
        <v>1401089.1193379995</v>
      </c>
      <c r="J84" s="44">
        <f>J59*'Drug Price'!C10</f>
        <v>1530948.8943405168</v>
      </c>
      <c r="K84" s="44">
        <f>K59*'Drug Price'!D10</f>
        <v>1673527.5655080387</v>
      </c>
      <c r="L84" s="44">
        <f>L59*'Drug Price'!E10</f>
        <v>1802464.3812835373</v>
      </c>
      <c r="M84" s="44">
        <f>M59*'Drug Price'!F10</f>
        <v>1941357.3308166105</v>
      </c>
      <c r="N84" s="44">
        <f>N59*'Drug Price'!G10</f>
        <v>2090977.5480280025</v>
      </c>
      <c r="O84" s="44">
        <f>O59*'Drug Price'!H10</f>
        <v>2252156.1416528709</v>
      </c>
      <c r="P84" s="44">
        <f>P59*'Drug Price'!I10</f>
        <v>2425788.8858818235</v>
      </c>
      <c r="Q84" s="44">
        <f>Q59*'Drug Price'!J10</f>
        <v>2612841.2805946139</v>
      </c>
      <c r="R84" s="44">
        <f>R59*'Drug Price'!K10</f>
        <v>2814354.010593331</v>
      </c>
      <c r="S84" s="44">
        <f>S59*'Drug Price'!L10</f>
        <v>3031448.8356111599</v>
      </c>
      <c r="T84" s="44">
        <f>T59*'Drug Price'!M10</f>
        <v>3265334.945436026</v>
      </c>
    </row>
    <row r="85" spans="7:20" x14ac:dyDescent="0.35">
      <c r="G85" s="49" t="s">
        <v>45</v>
      </c>
      <c r="I85" s="44"/>
      <c r="J85" s="44"/>
      <c r="K85" s="44"/>
      <c r="L85" s="44"/>
      <c r="M85" s="44"/>
      <c r="N85" s="44"/>
      <c r="O85" s="44"/>
      <c r="P85" s="44"/>
      <c r="Q85" s="44"/>
      <c r="R85" s="44"/>
      <c r="S85" s="44"/>
      <c r="T85" s="44"/>
    </row>
    <row r="86" spans="7:20" x14ac:dyDescent="0.35">
      <c r="G86" s="51" t="s">
        <v>46</v>
      </c>
      <c r="I86" s="44">
        <f>I61*'Drug Price'!B12</f>
        <v>962799.70251944568</v>
      </c>
      <c r="J86" s="44">
        <f>J61*'Drug Price'!C12</f>
        <v>1041512.9487466965</v>
      </c>
      <c r="K86" s="44">
        <f>K61*'Drug Price'!D12</f>
        <v>1127121.2656680492</v>
      </c>
      <c r="L86" s="44">
        <f>L61*'Drug Price'!E12</f>
        <v>1201816.7654799463</v>
      </c>
      <c r="M86" s="44">
        <f>M61*'Drug Price'!F12</f>
        <v>1281477.07166128</v>
      </c>
      <c r="N86" s="44">
        <f>N61*'Drug Price'!G12</f>
        <v>1366433.5698185428</v>
      </c>
      <c r="O86" s="44">
        <f>O61*'Drug Price'!H12</f>
        <v>1457039.8956637576</v>
      </c>
      <c r="P86" s="44">
        <f>P61*'Drug Price'!I12</f>
        <v>1553673.4412782115</v>
      </c>
      <c r="Q86" s="44">
        <f>Q61*'Drug Price'!J12</f>
        <v>1656736.9644986775</v>
      </c>
      <c r="R86" s="44">
        <f>R61*'Drug Price'!K12</f>
        <v>1766660.3085930548</v>
      </c>
      <c r="S86" s="44">
        <f>S61*'Drug Price'!L12</f>
        <v>1883902.2399002637</v>
      </c>
      <c r="T86" s="44">
        <f>T61*'Drug Price'!M12</f>
        <v>2008952.4116540113</v>
      </c>
    </row>
    <row r="87" spans="7:20" x14ac:dyDescent="0.35">
      <c r="G87" s="51" t="s">
        <v>47</v>
      </c>
      <c r="I87" s="44">
        <f>I62*'Drug Price'!B13</f>
        <v>1796268.1017153852</v>
      </c>
      <c r="J87" s="44">
        <f>J62*'Drug Price'!C13</f>
        <v>1948571.4576523153</v>
      </c>
      <c r="K87" s="44">
        <f>K62*'Drug Price'!D13</f>
        <v>2114651.2800309951</v>
      </c>
      <c r="L87" s="44">
        <f>L62*'Drug Price'!E13</f>
        <v>2261115.9144460037</v>
      </c>
      <c r="M87" s="44">
        <f>M62*'Drug Price'!F13</f>
        <v>2417752.6134475926</v>
      </c>
      <c r="N87" s="44">
        <f>N62*'Drug Price'!G13</f>
        <v>2585270.5382909793</v>
      </c>
      <c r="O87" s="44">
        <f>O62*'Drug Price'!H13</f>
        <v>2764428.554318462</v>
      </c>
      <c r="P87" s="44">
        <f>P62*'Drug Price'!I13</f>
        <v>2956038.7402801965</v>
      </c>
      <c r="Q87" s="44">
        <f>Q62*'Drug Price'!J13</f>
        <v>3160970.1479054131</v>
      </c>
      <c r="R87" s="44">
        <f>R62*'Drug Price'!K13</f>
        <v>3380152.8298072228</v>
      </c>
      <c r="S87" s="44">
        <f>S62*'Drug Price'!L13</f>
        <v>3614582.1551333638</v>
      </c>
      <c r="T87" s="44">
        <f>T62*'Drug Price'!M13</f>
        <v>3865323.433804343</v>
      </c>
    </row>
    <row r="88" spans="7:20" x14ac:dyDescent="0.35">
      <c r="G88" s="51" t="s">
        <v>48</v>
      </c>
      <c r="I88" s="44">
        <f>I63*'Drug Price'!B14</f>
        <v>1072970.8127579903</v>
      </c>
      <c r="J88" s="44">
        <f>J63*'Drug Price'!C14</f>
        <v>1170059.9499864874</v>
      </c>
      <c r="K88" s="44">
        <f>K63*'Drug Price'!D14</f>
        <v>1276455.1610916744</v>
      </c>
      <c r="L88" s="44">
        <f>L63*'Drug Price'!E14</f>
        <v>1372033.3171669755</v>
      </c>
      <c r="M88" s="44">
        <f>M63*'Drug Price'!F14</f>
        <v>1474785.0243587471</v>
      </c>
      <c r="N88" s="44">
        <f>N63*'Drug Price'!G14</f>
        <v>1585250.4358076218</v>
      </c>
      <c r="O88" s="44">
        <f>O63*'Drug Price'!H14</f>
        <v>1704010.5576022503</v>
      </c>
      <c r="P88" s="44">
        <f>P63*'Drug Price'!I14</f>
        <v>1831690.3571749618</v>
      </c>
      <c r="Q88" s="44">
        <f>Q63*'Drug Price'!J14</f>
        <v>1968962.1101145516</v>
      </c>
      <c r="R88" s="44">
        <f>R63*'Drug Price'!K14</f>
        <v>2116549.0038774777</v>
      </c>
      <c r="S88" s="44">
        <f>S63*'Drug Price'!L14</f>
        <v>2275229.0183309694</v>
      </c>
      <c r="T88" s="44">
        <f>T63*'Drug Price'!M14</f>
        <v>2445839.1046299185</v>
      </c>
    </row>
    <row r="89" spans="7:20" x14ac:dyDescent="0.35">
      <c r="G89" s="51"/>
      <c r="I89" s="44"/>
      <c r="J89" s="44"/>
      <c r="K89" s="44"/>
      <c r="L89" s="44"/>
      <c r="M89" s="44"/>
      <c r="N89" s="44"/>
      <c r="O89" s="44"/>
      <c r="P89" s="44"/>
      <c r="Q89" s="44"/>
      <c r="R89" s="44"/>
      <c r="S89" s="44"/>
      <c r="T89" s="44"/>
    </row>
    <row r="90" spans="7:20" x14ac:dyDescent="0.35">
      <c r="G90" s="49" t="s">
        <v>49</v>
      </c>
      <c r="I90" s="44"/>
      <c r="J90" s="44"/>
      <c r="K90" s="44"/>
      <c r="L90" s="44"/>
      <c r="M90" s="44"/>
      <c r="N90" s="44">
        <f>N66*'Drug Price'!G17</f>
        <v>354138.03270830965</v>
      </c>
      <c r="O90" s="44">
        <f>O66*'Drug Price'!H17</f>
        <v>442435.56592087855</v>
      </c>
      <c r="P90" s="44">
        <f>P66*'Drug Price'!I17</f>
        <v>552755.24207366083</v>
      </c>
      <c r="Q90" s="44">
        <f>Q66*'Drug Price'!J17</f>
        <v>690591.50296547276</v>
      </c>
      <c r="R90" s="44">
        <f>R66*'Drug Price'!K17</f>
        <v>862810.17993620504</v>
      </c>
      <c r="S90" s="44">
        <f>S66*'Drug Price'!L17</f>
        <v>1077990.9414709213</v>
      </c>
      <c r="T90" s="44">
        <f>T66*'Drug Price'!M17</f>
        <v>1346855.2965256353</v>
      </c>
    </row>
    <row r="91" spans="7:20" x14ac:dyDescent="0.35">
      <c r="G91" s="49" t="s">
        <v>50</v>
      </c>
      <c r="I91" s="44"/>
      <c r="J91" s="44"/>
      <c r="K91" s="44"/>
      <c r="L91" s="44"/>
      <c r="M91" s="44"/>
      <c r="N91" s="44">
        <f>N67*'Drug Price'!G18</f>
        <v>349154.03437761799</v>
      </c>
      <c r="O91" s="44">
        <f>O67*'Drug Price'!H18</f>
        <v>388668.21734047885</v>
      </c>
      <c r="P91" s="44">
        <f>P67*'Drug Price'!I18</f>
        <v>432659.62567438337</v>
      </c>
      <c r="Q91" s="44">
        <f>Q67*'Drug Price'!J18</f>
        <v>481636.32485553331</v>
      </c>
      <c r="R91" s="44">
        <f>R67*'Drug Price'!K18</f>
        <v>536164.14371119207</v>
      </c>
      <c r="S91" s="44">
        <f>S67*'Drug Price'!L18</f>
        <v>596873.25725474523</v>
      </c>
      <c r="T91" s="44">
        <f>T67*'Drug Price'!M18</f>
        <v>664465.52192780399</v>
      </c>
    </row>
    <row r="92" spans="7:20" x14ac:dyDescent="0.35">
      <c r="G92" s="51" t="s">
        <v>51</v>
      </c>
      <c r="I92" s="44"/>
      <c r="J92" s="44"/>
      <c r="K92" s="44"/>
      <c r="L92" s="44"/>
      <c r="M92" s="44"/>
      <c r="N92" s="44">
        <f>N68*'Drug Price'!G19</f>
        <v>154607.86197039089</v>
      </c>
      <c r="O92" s="44">
        <f>O68*'Drug Price'!H19</f>
        <v>175988.90645365926</v>
      </c>
      <c r="P92" s="44">
        <f>P68*'Drug Price'!I19</f>
        <v>200329.26097187679</v>
      </c>
      <c r="Q92" s="44">
        <f>Q68*'Drug Price'!J19</f>
        <v>228038.93648619283</v>
      </c>
      <c r="R92" s="44">
        <f>R68*'Drug Price'!K19</f>
        <v>259584.82129964806</v>
      </c>
      <c r="S92" s="44">
        <f>S68*'Drug Price'!L19</f>
        <v>295498.58304197027</v>
      </c>
      <c r="T92" s="44">
        <f>T68*'Drug Price'!M19</f>
        <v>336385.67047595058</v>
      </c>
    </row>
    <row r="93" spans="7:20" x14ac:dyDescent="0.35">
      <c r="G93" s="51" t="s">
        <v>52</v>
      </c>
      <c r="I93" s="44"/>
      <c r="J93" s="44"/>
      <c r="K93" s="44"/>
      <c r="L93" s="44"/>
      <c r="M93" s="44"/>
      <c r="N93" s="44">
        <f>N69*'Drug Price'!G20</f>
        <v>698806.19529483677</v>
      </c>
      <c r="O93" s="44">
        <f>O69*'Drug Price'!H20</f>
        <v>823273.59283860633</v>
      </c>
      <c r="P93" s="44">
        <f>P69*'Drug Price'!I20</f>
        <v>969922.42816305393</v>
      </c>
      <c r="Q93" s="44">
        <f>Q69*'Drug Price'!J20</f>
        <v>1142708.1909111915</v>
      </c>
      <c r="R93" s="44">
        <f>R69*'Drug Price'!K20</f>
        <v>1346292.258005183</v>
      </c>
      <c r="S93" s="44">
        <f>S69*'Drug Price'!L20</f>
        <v>1586167.9749996844</v>
      </c>
      <c r="T93" s="44">
        <f>T69*'Drug Price'!M20</f>
        <v>1868809.2804219481</v>
      </c>
    </row>
    <row r="94" spans="7:20" x14ac:dyDescent="0.35">
      <c r="G94" s="51" t="s">
        <v>53</v>
      </c>
      <c r="I94" s="44"/>
      <c r="J94" s="44"/>
      <c r="K94" s="44"/>
      <c r="L94" s="44"/>
      <c r="M94" s="44"/>
      <c r="N94" s="44">
        <f>N70*'Drug Price'!G21</f>
        <v>5391643.8080787333</v>
      </c>
      <c r="O94" s="44">
        <f>O70*'Drug Price'!H21</f>
        <v>5203032.5827350346</v>
      </c>
      <c r="P94" s="44">
        <f>P70*'Drug Price'!I21</f>
        <v>4942647.9928305279</v>
      </c>
      <c r="Q94" s="44">
        <f>Q70*'Drug Price'!J21</f>
        <v>4596381.3970538098</v>
      </c>
      <c r="R94" s="44">
        <f>R70*'Drug Price'!K21</f>
        <v>4147351.0103064673</v>
      </c>
      <c r="S94" s="44">
        <f>S70*'Drug Price'!L21</f>
        <v>3575319.6360820755</v>
      </c>
      <c r="T94" s="44">
        <f>T70*'Drug Price'!M21</f>
        <v>2855983.5003732019</v>
      </c>
    </row>
    <row r="95" spans="7:20" ht="15" thickBot="1" x14ac:dyDescent="0.4">
      <c r="G95" s="53" t="s">
        <v>48</v>
      </c>
      <c r="H95" s="9"/>
      <c r="I95" s="44">
        <f>I70*'Drug Price'!B21</f>
        <v>6242151.4046677388</v>
      </c>
      <c r="J95" s="44">
        <f>J70*'Drug Price'!C21</f>
        <v>6491219.5560858753</v>
      </c>
      <c r="K95" s="44">
        <f>K70*'Drug Price'!D21</f>
        <v>6743987.7227057535</v>
      </c>
      <c r="L95" s="44">
        <f>L70*'Drug Price'!E21</f>
        <v>6893517.8211327046</v>
      </c>
      <c r="M95" s="44">
        <f>M70*'Drug Price'!F21</f>
        <v>7035363.1664854279</v>
      </c>
      <c r="N95" s="44">
        <f>N70*'Drug Price'!G21</f>
        <v>5391643.8080787333</v>
      </c>
      <c r="O95" s="44">
        <f>O70*'Drug Price'!H21</f>
        <v>5203032.5827350346</v>
      </c>
      <c r="P95" s="44">
        <f>P70*'Drug Price'!I21</f>
        <v>4942647.9928305279</v>
      </c>
      <c r="Q95" s="44">
        <f>Q70*'Drug Price'!J21</f>
        <v>4596381.3970538098</v>
      </c>
      <c r="R95" s="44">
        <f>R70*'Drug Price'!K21</f>
        <v>4147351.0103064673</v>
      </c>
      <c r="S95" s="44">
        <f>S70*'Drug Price'!L21</f>
        <v>3575319.6360820755</v>
      </c>
      <c r="T95" s="44">
        <f>T70*'Drug Price'!M21</f>
        <v>2855983.5003732019</v>
      </c>
    </row>
    <row r="96" spans="7:20" x14ac:dyDescent="0.35">
      <c r="G96" s="49" t="s">
        <v>56</v>
      </c>
      <c r="I96" s="44">
        <f>SUM(I76:I95)</f>
        <v>17101669.840398267</v>
      </c>
      <c r="J96" s="44">
        <f t="shared" ref="J96:S96" si="32">SUM(J76:J95)</f>
        <v>18325162.493851259</v>
      </c>
      <c r="K96" s="44">
        <f t="shared" si="32"/>
        <v>19647711.271032106</v>
      </c>
      <c r="L96" s="44">
        <f t="shared" si="32"/>
        <v>20759810.260635365</v>
      </c>
      <c r="M96" s="44">
        <f t="shared" si="32"/>
        <v>21939893.215525731</v>
      </c>
      <c r="N96" s="44">
        <f t="shared" si="32"/>
        <v>28365050.445817098</v>
      </c>
      <c r="O96" s="44">
        <f t="shared" si="32"/>
        <v>29471621.206963383</v>
      </c>
      <c r="P96" s="44">
        <f t="shared" si="32"/>
        <v>30583998.720758028</v>
      </c>
      <c r="Q96" s="44">
        <f t="shared" si="32"/>
        <v>31693337.858147621</v>
      </c>
      <c r="R96" s="44">
        <f t="shared" si="32"/>
        <v>32788461.538670603</v>
      </c>
      <c r="S96" s="44">
        <f t="shared" si="32"/>
        <v>33855325.370368518</v>
      </c>
      <c r="T96" s="44">
        <f>SUM(T76:T95)</f>
        <v>34876359.226605333</v>
      </c>
    </row>
    <row r="97" spans="7:20" x14ac:dyDescent="0.35">
      <c r="G97" t="s">
        <v>55</v>
      </c>
      <c r="I97" s="56">
        <f>I96*95%</f>
        <v>16246586.348378353</v>
      </c>
      <c r="J97" s="56">
        <f t="shared" ref="J97:T97" si="33">J96*95%</f>
        <v>17408904.369158696</v>
      </c>
      <c r="K97" s="56">
        <f t="shared" si="33"/>
        <v>18665325.707480501</v>
      </c>
      <c r="L97" s="56">
        <f t="shared" si="33"/>
        <v>19721819.747603595</v>
      </c>
      <c r="M97" s="56">
        <f t="shared" si="33"/>
        <v>20842898.554749444</v>
      </c>
      <c r="N97" s="56">
        <f t="shared" si="33"/>
        <v>26946797.923526242</v>
      </c>
      <c r="O97" s="56">
        <f t="shared" si="33"/>
        <v>27998040.146615211</v>
      </c>
      <c r="P97" s="56">
        <f t="shared" si="33"/>
        <v>29054798.784720127</v>
      </c>
      <c r="Q97" s="56">
        <f t="shared" si="33"/>
        <v>30108670.96524024</v>
      </c>
      <c r="R97" s="56">
        <f t="shared" si="33"/>
        <v>31149038.46173707</v>
      </c>
      <c r="S97" s="56">
        <f t="shared" si="33"/>
        <v>32162559.101850089</v>
      </c>
      <c r="T97" s="56">
        <f t="shared" si="33"/>
        <v>33132541.265275065</v>
      </c>
    </row>
    <row r="98" spans="7:20" x14ac:dyDescent="0.35">
      <c r="G98" t="s">
        <v>57</v>
      </c>
    </row>
  </sheetData>
  <mergeCells count="1">
    <mergeCell ref="G1:I1"/>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88BBC-6A80-4577-BA5C-6E5385451BD0}">
  <dimension ref="A1:N21"/>
  <sheetViews>
    <sheetView workbookViewId="0">
      <selection activeCell="B2" sqref="B2"/>
    </sheetView>
  </sheetViews>
  <sheetFormatPr defaultRowHeight="14.5" x14ac:dyDescent="0.35"/>
  <cols>
    <col min="1" max="1" width="51" customWidth="1"/>
    <col min="2" max="2" width="13.36328125" customWidth="1"/>
  </cols>
  <sheetData>
    <row r="1" spans="1:14" ht="14" customHeight="1" x14ac:dyDescent="0.35">
      <c r="A1" s="3" t="s">
        <v>37</v>
      </c>
      <c r="B1">
        <v>2023</v>
      </c>
      <c r="C1">
        <f>B1+1</f>
        <v>2024</v>
      </c>
      <c r="D1">
        <f t="shared" ref="D1:M1" si="0">C1+1</f>
        <v>2025</v>
      </c>
      <c r="E1">
        <f t="shared" si="0"/>
        <v>2026</v>
      </c>
      <c r="F1">
        <f t="shared" si="0"/>
        <v>2027</v>
      </c>
      <c r="G1">
        <f t="shared" si="0"/>
        <v>2028</v>
      </c>
      <c r="H1">
        <f t="shared" si="0"/>
        <v>2029</v>
      </c>
      <c r="I1">
        <f t="shared" si="0"/>
        <v>2030</v>
      </c>
      <c r="J1">
        <f t="shared" si="0"/>
        <v>2031</v>
      </c>
      <c r="K1">
        <f t="shared" si="0"/>
        <v>2032</v>
      </c>
      <c r="L1">
        <f t="shared" si="0"/>
        <v>2033</v>
      </c>
      <c r="M1">
        <f t="shared" si="0"/>
        <v>2034</v>
      </c>
    </row>
    <row r="2" spans="1:14" x14ac:dyDescent="0.35">
      <c r="A2" t="s">
        <v>38</v>
      </c>
      <c r="B2">
        <v>28.999999999999996</v>
      </c>
      <c r="C2" s="45">
        <v>31.293888122947113</v>
      </c>
      <c r="D2" s="45">
        <v>33.769221856949322</v>
      </c>
      <c r="E2" s="45">
        <v>36.440353475529392</v>
      </c>
      <c r="F2" s="45">
        <v>39.322770511167725</v>
      </c>
      <c r="G2" s="45">
        <v>42.43318555382092</v>
      </c>
      <c r="H2" s="45">
        <v>45.789633152466465</v>
      </c>
      <c r="I2" s="45">
        <v>49.411574381519848</v>
      </c>
      <c r="J2" s="45">
        <v>53.320009678412475</v>
      </c>
      <c r="K2" s="45">
        <v>57.537600606575772</v>
      </c>
      <c r="L2" s="45">
        <v>62.088801249827455</v>
      </c>
      <c r="M2">
        <v>66.999999999999972</v>
      </c>
      <c r="N2" s="44"/>
    </row>
    <row r="3" spans="1:14" x14ac:dyDescent="0.35">
      <c r="A3" t="s">
        <v>39</v>
      </c>
      <c r="B3">
        <v>89.999999999999986</v>
      </c>
      <c r="C3" s="45">
        <v>90.866182206155727</v>
      </c>
      <c r="D3" s="45">
        <v>91.740700763581032</v>
      </c>
      <c r="E3" s="45">
        <v>92.623635903377405</v>
      </c>
      <c r="F3" s="45">
        <v>93.515068628810226</v>
      </c>
      <c r="G3" s="45">
        <v>94.415080722740313</v>
      </c>
      <c r="H3" s="45">
        <v>95.323754755126942</v>
      </c>
      <c r="I3" s="45">
        <v>96.241174090602996</v>
      </c>
      <c r="J3" s="45">
        <v>97.167422896123185</v>
      </c>
      <c r="K3" s="45">
        <v>98.102586148685774</v>
      </c>
      <c r="L3" s="45">
        <v>99.046749643128578</v>
      </c>
      <c r="M3">
        <v>100.00000000000014</v>
      </c>
      <c r="N3" s="44"/>
    </row>
    <row r="4" spans="1:14" x14ac:dyDescent="0.35">
      <c r="A4" t="s">
        <v>40</v>
      </c>
      <c r="B4">
        <v>86.999999999999986</v>
      </c>
      <c r="C4" s="45">
        <v>87.443088125663834</v>
      </c>
      <c r="D4" s="45">
        <v>87.888432884512781</v>
      </c>
      <c r="E4" s="45">
        <v>88.336045769505077</v>
      </c>
      <c r="F4" s="45">
        <v>88.785938332132261</v>
      </c>
      <c r="G4" s="45">
        <v>89.238122182717206</v>
      </c>
      <c r="H4" s="45">
        <v>89.692608990713765</v>
      </c>
      <c r="I4" s="45">
        <v>90.149410485007962</v>
      </c>
      <c r="J4" s="45">
        <v>90.608538454220636</v>
      </c>
      <c r="K4" s="45">
        <v>91.07000474701168</v>
      </c>
      <c r="L4" s="45">
        <v>91.533821272385822</v>
      </c>
      <c r="M4">
        <v>91.999999999999957</v>
      </c>
      <c r="N4" s="44"/>
    </row>
    <row r="5" spans="1:14" x14ac:dyDescent="0.35">
      <c r="A5" t="s">
        <v>48</v>
      </c>
      <c r="B5">
        <v>55.999999999999986</v>
      </c>
      <c r="C5" s="45">
        <v>57.147604201434028</v>
      </c>
      <c r="D5" s="45">
        <v>58.318726177924297</v>
      </c>
      <c r="E5" s="45">
        <v>59.51384787763979</v>
      </c>
      <c r="F5" s="45">
        <v>60.733461125280606</v>
      </c>
      <c r="G5" s="45">
        <v>61.978067824477087</v>
      </c>
      <c r="H5" s="45">
        <v>63.248180164336617</v>
      </c>
      <c r="I5" s="45">
        <v>64.544320830223228</v>
      </c>
      <c r="J5" s="45">
        <v>65.867023218856644</v>
      </c>
      <c r="K5" s="45">
        <v>67.21683165781937</v>
      </c>
      <c r="L5" s="45">
        <v>68.594301629562196</v>
      </c>
      <c r="M5">
        <v>70.000000000000043</v>
      </c>
      <c r="N5" s="44"/>
    </row>
    <row r="6" spans="1:14" x14ac:dyDescent="0.35">
      <c r="A6" s="3" t="s">
        <v>41</v>
      </c>
    </row>
    <row r="7" spans="1:14" x14ac:dyDescent="0.35">
      <c r="A7" t="s">
        <v>42</v>
      </c>
      <c r="B7">
        <v>88.999999999999986</v>
      </c>
      <c r="C7" s="45">
        <v>89.268636104944278</v>
      </c>
      <c r="D7" s="45">
        <v>89.538083056595084</v>
      </c>
      <c r="E7" s="45">
        <v>89.808343302398498</v>
      </c>
      <c r="F7" s="45">
        <v>90.079419297187897</v>
      </c>
      <c r="G7" s="45">
        <v>90.351313503206342</v>
      </c>
      <c r="H7" s="45">
        <v>90.624028390128814</v>
      </c>
      <c r="I7" s="45">
        <v>90.897566435084855</v>
      </c>
      <c r="J7" s="45">
        <v>91.171930122680777</v>
      </c>
      <c r="K7" s="45">
        <v>91.447121945022459</v>
      </c>
      <c r="L7" s="45">
        <v>91.723144401737912</v>
      </c>
      <c r="M7">
        <v>92.000000000000028</v>
      </c>
      <c r="N7" s="44"/>
    </row>
    <row r="8" spans="1:14" x14ac:dyDescent="0.35">
      <c r="A8" t="s">
        <v>43</v>
      </c>
      <c r="B8">
        <v>27.000000000000011</v>
      </c>
      <c r="C8" s="45">
        <v>27.259854661846735</v>
      </c>
      <c r="D8" s="45">
        <v>27.522210229074325</v>
      </c>
      <c r="E8" s="45">
        <v>27.787090771013236</v>
      </c>
      <c r="F8" s="45">
        <v>28.054520588643083</v>
      </c>
      <c r="G8" s="45">
        <v>28.324524216822113</v>
      </c>
      <c r="H8" s="45">
        <v>28.597126426538097</v>
      </c>
      <c r="I8" s="45">
        <v>28.872352227180915</v>
      </c>
      <c r="J8" s="45">
        <v>29.150226868836974</v>
      </c>
      <c r="K8" s="45">
        <v>29.430775844605751</v>
      </c>
      <c r="L8" s="45">
        <v>29.714024892938593</v>
      </c>
      <c r="M8">
        <v>30.00000000000006</v>
      </c>
      <c r="N8" s="44"/>
    </row>
    <row r="9" spans="1:14" x14ac:dyDescent="0.35">
      <c r="A9" t="s">
        <v>44</v>
      </c>
      <c r="B9">
        <v>85.999999999999957</v>
      </c>
      <c r="C9" s="45">
        <v>86.35616861173834</v>
      </c>
      <c r="D9" s="45">
        <v>86.713812294174261</v>
      </c>
      <c r="E9" s="45">
        <v>87.072937156306352</v>
      </c>
      <c r="F9" s="45">
        <v>87.433549332433614</v>
      </c>
      <c r="G9" s="45">
        <v>87.795654982260288</v>
      </c>
      <c r="H9" s="45">
        <v>88.159260291000919</v>
      </c>
      <c r="I9" s="45">
        <v>88.524371469486127</v>
      </c>
      <c r="J9" s="45">
        <v>88.890994754268689</v>
      </c>
      <c r="K9" s="45">
        <v>89.259136407729997</v>
      </c>
      <c r="L9" s="45">
        <v>89.628802718187075</v>
      </c>
      <c r="M9">
        <v>89.999999999999986</v>
      </c>
      <c r="N9" s="44"/>
    </row>
    <row r="10" spans="1:14" x14ac:dyDescent="0.35">
      <c r="A10" t="s">
        <v>48</v>
      </c>
      <c r="B10">
        <v>89.999999999999986</v>
      </c>
      <c r="C10" s="45">
        <v>90.866182206155727</v>
      </c>
      <c r="D10" s="45">
        <v>91.740700763581032</v>
      </c>
      <c r="E10" s="45">
        <v>92.623635903377405</v>
      </c>
      <c r="F10" s="45">
        <v>93.515068628810226</v>
      </c>
      <c r="G10" s="45">
        <v>94.415080722740313</v>
      </c>
      <c r="H10" s="45">
        <v>95.323754755126942</v>
      </c>
      <c r="I10" s="45">
        <v>96.241174090602996</v>
      </c>
      <c r="J10" s="45">
        <v>97.167422896123185</v>
      </c>
      <c r="K10" s="45">
        <v>98.102586148685774</v>
      </c>
      <c r="L10" s="45">
        <v>99.046749643128578</v>
      </c>
      <c r="M10">
        <v>100.00000000000014</v>
      </c>
      <c r="N10" s="44"/>
    </row>
    <row r="11" spans="1:14" x14ac:dyDescent="0.35">
      <c r="A11" s="3" t="s">
        <v>45</v>
      </c>
    </row>
    <row r="12" spans="1:14" x14ac:dyDescent="0.35">
      <c r="A12" t="s">
        <v>46</v>
      </c>
      <c r="B12" s="45">
        <v>66.999999999999972</v>
      </c>
      <c r="C12" s="45">
        <v>67.267329700306277</v>
      </c>
      <c r="D12" s="45">
        <v>67.53572604492102</v>
      </c>
      <c r="E12" s="45">
        <v>67.805193289750235</v>
      </c>
      <c r="F12" s="45">
        <v>68.075735707680991</v>
      </c>
      <c r="G12" s="45">
        <v>68.347357588649103</v>
      </c>
      <c r="H12" s="45">
        <v>68.620063239707349</v>
      </c>
      <c r="I12" s="45">
        <v>68.893856985093464</v>
      </c>
      <c r="J12" s="45">
        <v>69.168743166298995</v>
      </c>
      <c r="K12" s="45">
        <v>69.444726142137952</v>
      </c>
      <c r="L12" s="45">
        <v>69.72181028881603</v>
      </c>
      <c r="M12" s="45">
        <v>69.999999999999929</v>
      </c>
      <c r="N12" s="44"/>
    </row>
    <row r="13" spans="1:14" x14ac:dyDescent="0.35">
      <c r="A13" t="s">
        <v>47</v>
      </c>
      <c r="B13" s="45">
        <v>100.00000000000006</v>
      </c>
      <c r="C13" s="45">
        <v>100.44453207242525</v>
      </c>
      <c r="D13" s="45">
        <v>100.89104023248458</v>
      </c>
      <c r="E13" s="45">
        <v>101.33953326452136</v>
      </c>
      <c r="F13" s="45">
        <v>101.79001999192815</v>
      </c>
      <c r="G13" s="45">
        <v>102.24250927732029</v>
      </c>
      <c r="H13" s="45">
        <v>102.69701002271027</v>
      </c>
      <c r="I13" s="45">
        <v>103.15353116968292</v>
      </c>
      <c r="J13" s="45">
        <v>103.61208169957128</v>
      </c>
      <c r="K13" s="45">
        <v>104.07267063363327</v>
      </c>
      <c r="L13" s="45">
        <v>104.5353070332292</v>
      </c>
      <c r="M13" s="45">
        <v>105.00000000000003</v>
      </c>
      <c r="N13" s="44"/>
    </row>
    <row r="14" spans="1:14" x14ac:dyDescent="0.35">
      <c r="A14" t="s">
        <v>48</v>
      </c>
      <c r="B14" s="45">
        <v>56.000000000000028</v>
      </c>
      <c r="C14" s="45">
        <v>56.352340234535667</v>
      </c>
      <c r="D14" s="45">
        <v>56.706897319801186</v>
      </c>
      <c r="E14" s="45">
        <v>57.06368520375559</v>
      </c>
      <c r="F14" s="45">
        <v>57.422717922115574</v>
      </c>
      <c r="G14" s="45">
        <v>57.784009598907581</v>
      </c>
      <c r="H14" s="45">
        <v>58.147574447023452</v>
      </c>
      <c r="I14" s="45">
        <v>58.513426768779581</v>
      </c>
      <c r="J14" s="45">
        <v>58.88158095647951</v>
      </c>
      <c r="K14" s="45">
        <v>59.252051492980137</v>
      </c>
      <c r="L14" s="45">
        <v>59.62485295226147</v>
      </c>
      <c r="M14" s="45">
        <v>59.999999999999915</v>
      </c>
      <c r="N14" s="44"/>
    </row>
    <row r="16" spans="1:14" x14ac:dyDescent="0.35">
      <c r="A16" s="3" t="s">
        <v>49</v>
      </c>
    </row>
    <row r="17" spans="1:14" x14ac:dyDescent="0.35">
      <c r="A17" s="3" t="s">
        <v>50</v>
      </c>
      <c r="C17" s="45"/>
      <c r="D17" s="45"/>
      <c r="E17" s="45"/>
      <c r="F17" s="45"/>
      <c r="G17" s="45">
        <v>47.207540361370171</v>
      </c>
      <c r="H17" s="45">
        <v>47.661877377563485</v>
      </c>
      <c r="I17" s="45">
        <v>48.120587045301512</v>
      </c>
      <c r="J17" s="45">
        <v>48.583711448061607</v>
      </c>
      <c r="K17" s="45">
        <v>49.051293074342901</v>
      </c>
      <c r="L17" s="45">
        <v>49.523374821564303</v>
      </c>
      <c r="M17">
        <v>50.000000000000092</v>
      </c>
      <c r="N17" s="44"/>
    </row>
    <row r="18" spans="1:14" x14ac:dyDescent="0.35">
      <c r="A18" t="s">
        <v>51</v>
      </c>
      <c r="C18" s="45"/>
      <c r="D18" s="45"/>
      <c r="E18" s="45"/>
      <c r="F18" s="45"/>
      <c r="G18" s="45">
        <v>78.902816257632992</v>
      </c>
      <c r="H18" s="45">
        <v>79.084629623677614</v>
      </c>
      <c r="I18" s="45">
        <v>79.266861936746452</v>
      </c>
      <c r="J18" s="45">
        <v>79.449514162206398</v>
      </c>
      <c r="K18" s="45">
        <v>79.632587267648859</v>
      </c>
      <c r="L18" s="45">
        <v>79.816082222894806</v>
      </c>
      <c r="M18">
        <v>79.999999999999957</v>
      </c>
      <c r="N18" s="44"/>
    </row>
    <row r="19" spans="1:14" x14ac:dyDescent="0.35">
      <c r="A19" t="s">
        <v>52</v>
      </c>
      <c r="C19" s="45"/>
      <c r="D19" s="45"/>
      <c r="E19" s="45"/>
      <c r="F19" s="45"/>
      <c r="G19" s="45">
        <v>24.738908290595287</v>
      </c>
      <c r="H19" s="45">
        <v>25.10215862015535</v>
      </c>
      <c r="I19" s="45">
        <v>25.470742685560808</v>
      </c>
      <c r="J19" s="45">
        <v>25.844738803982363</v>
      </c>
      <c r="K19" s="45">
        <v>26.224226442550041</v>
      </c>
      <c r="L19" s="45">
        <v>26.60928623523845</v>
      </c>
      <c r="M19">
        <v>26.999999999999961</v>
      </c>
      <c r="N19" s="44"/>
    </row>
    <row r="20" spans="1:14" x14ac:dyDescent="0.35">
      <c r="A20" t="s">
        <v>53</v>
      </c>
      <c r="C20" s="45"/>
      <c r="D20" s="45"/>
      <c r="E20" s="45"/>
      <c r="F20" s="45"/>
      <c r="G20" s="45">
        <v>89.453160572698806</v>
      </c>
      <c r="H20" s="45">
        <v>89.54406919462896</v>
      </c>
      <c r="I20" s="45">
        <v>89.635070204323696</v>
      </c>
      <c r="J20" s="45">
        <v>89.726163695674018</v>
      </c>
      <c r="K20" s="45">
        <v>89.817349762666282</v>
      </c>
      <c r="L20" s="45">
        <v>89.908628499382445</v>
      </c>
      <c r="M20">
        <v>89.999999999999957</v>
      </c>
      <c r="N20" s="44"/>
    </row>
    <row r="21" spans="1:14" x14ac:dyDescent="0.35">
      <c r="A21" s="3" t="s">
        <v>48</v>
      </c>
      <c r="B21">
        <v>66.999999999999972</v>
      </c>
      <c r="C21" s="45">
        <v>67.267329700306277</v>
      </c>
      <c r="D21" s="45">
        <v>67.53572604492102</v>
      </c>
      <c r="E21" s="45">
        <v>67.805193289750235</v>
      </c>
      <c r="F21" s="45">
        <v>68.075735707680991</v>
      </c>
      <c r="G21" s="45">
        <v>68.347357588649103</v>
      </c>
      <c r="H21" s="45">
        <v>68.620063239707349</v>
      </c>
      <c r="I21" s="45">
        <v>68.893856985093464</v>
      </c>
      <c r="J21" s="45">
        <v>69.168743166298995</v>
      </c>
      <c r="K21" s="45">
        <v>69.444726142137952</v>
      </c>
      <c r="L21" s="45">
        <v>69.72181028881603</v>
      </c>
      <c r="M21">
        <v>69.999999999999929</v>
      </c>
      <c r="N21" s="4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029F7-4C5F-43D8-BE36-4344E57BC40E}">
  <dimension ref="A1"/>
  <sheetViews>
    <sheetView tabSelected="1" workbookViewId="0">
      <selection activeCell="M10" sqref="M10"/>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Brain tumor Desk Research</vt:lpstr>
      <vt:lpstr>Drug Price</vt:lpstr>
      <vt:lpstr>Description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Bhakti Didmishe</dc:creator>
  <cp:lastModifiedBy>Bhakti Didmishe</cp:lastModifiedBy>
  <dcterms:created xsi:type="dcterms:W3CDTF">2026-06-23T17:50:11Z</dcterms:created>
  <dcterms:modified xsi:type="dcterms:W3CDTF">2026-10-12T09:43:33Z</dcterms:modified>
</cp:coreProperties>
</file>